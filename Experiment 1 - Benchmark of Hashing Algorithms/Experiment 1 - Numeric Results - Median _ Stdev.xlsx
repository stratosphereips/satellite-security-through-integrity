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zil-Ortigueira - 3.8 Mb" sheetId="1" r:id="rId4"/>
    <sheet state="visible" name="Capella - 147 Mb" sheetId="2" r:id="rId5"/>
    <sheet state="visible" name="Summary Brazil-Ortigueira &amp; Cap" sheetId="3" r:id="rId6"/>
    <sheet state="visible" name="Brazil-Ortigueira - Idle (befor" sheetId="4" r:id="rId7"/>
    <sheet state="visible" name="Capella - Idle (before+after) -" sheetId="5" r:id="rId8"/>
    <sheet state="visible" name="Idle Totals" sheetId="6" r:id="rId9"/>
    <sheet state="visible" name="Brazil-Ortigueira - Increased C" sheetId="7" r:id="rId10"/>
    <sheet state="visible" name="Capella - Increased Consumption" sheetId="8" r:id="rId11"/>
    <sheet state="visible" name="Scalability &amp; Consistency" sheetId="9" r:id="rId12"/>
  </sheets>
  <definedNames/>
  <calcPr/>
</workbook>
</file>

<file path=xl/sharedStrings.xml><?xml version="1.0" encoding="utf-8"?>
<sst xmlns="http://schemas.openxmlformats.org/spreadsheetml/2006/main" count="776" uniqueCount="231">
  <si>
    <r>
      <rPr>
        <rFont val="Arial, sans-serif"/>
        <b/>
        <color rgb="FF000000"/>
        <sz val="14.0"/>
      </rPr>
      <t xml:space="preserve">Brazil-Ortigueira - 3.8 Mb
</t>
    </r>
    <r>
      <rPr>
        <rFont val="Arial, sans-serif"/>
        <b val="0"/>
        <color rgb="FF000000"/>
        <sz val="9.0"/>
      </rPr>
      <t>Hashing</t>
    </r>
  </si>
  <si>
    <t>Hashing Time (seconds)</t>
  </si>
  <si>
    <t>CPU Consumption (%) - During Hashing - Median</t>
  </si>
  <si>
    <t>Memory Used (Mb) - During Hashing - Median</t>
  </si>
  <si>
    <t>Temperature (°C - Degree Celcius) - During Hashing - Median</t>
  </si>
  <si>
    <t>Disk i/o (Write - Mb/s) - During Hashing - Median</t>
  </si>
  <si>
    <t>Disk i/o (Read - Mb/s) - During Hashing - Median</t>
  </si>
  <si>
    <t>Chunk Size (bytes)</t>
  </si>
  <si>
    <t>MD5</t>
  </si>
  <si>
    <t>Run 1 - MD5</t>
  </si>
  <si>
    <t>Run 2 - MD5</t>
  </si>
  <si>
    <t>Run 3 - MD5</t>
  </si>
  <si>
    <t>Median - All runs</t>
  </si>
  <si>
    <t>Stdev - All runs</t>
  </si>
  <si>
    <t>sha3_256</t>
  </si>
  <si>
    <t>Run 1 - sha3_256</t>
  </si>
  <si>
    <t>Run 2 - sha3_256</t>
  </si>
  <si>
    <t>Run 3 - sha3_256</t>
  </si>
  <si>
    <t>sha256</t>
  </si>
  <si>
    <t>Run 1 - sha256</t>
  </si>
  <si>
    <t>Run 2 - sha256</t>
  </si>
  <si>
    <t>Run 3 - sha256</t>
  </si>
  <si>
    <t>USB (separate run)</t>
  </si>
  <si>
    <t>Run 4 - MD5 (USB)</t>
  </si>
  <si>
    <t>Run 4 - sha3_256 (USB)</t>
  </si>
  <si>
    <t>Run 4 - sha256 (USB)</t>
  </si>
  <si>
    <r>
      <rPr>
        <rFont val="Arial, sans-serif"/>
        <b/>
        <color rgb="FF000000"/>
        <sz val="14.0"/>
      </rPr>
      <t xml:space="preserve">Capella - 147 Mb
</t>
    </r>
    <r>
      <rPr>
        <rFont val="Arial, sans-serif"/>
        <b val="0"/>
        <color rgb="FF000000"/>
        <sz val="9.0"/>
      </rPr>
      <t>Hashing</t>
    </r>
  </si>
  <si>
    <r>
      <rPr>
        <rFont val="Arial, sans-serif"/>
        <b/>
        <color rgb="FF000000"/>
        <sz val="14.0"/>
      </rPr>
      <t xml:space="preserve">Brazil-Ortigueira - 3.8 Mb
</t>
    </r>
    <r>
      <rPr>
        <rFont val="Arial, sans-serif"/>
        <b val="0"/>
        <color rgb="FF000000"/>
        <sz val="9.0"/>
      </rPr>
      <t>Hashing</t>
    </r>
  </si>
  <si>
    <t>41,98 ± 0,0379</t>
  </si>
  <si>
    <t>21,02 ± 0,0400</t>
  </si>
  <si>
    <t>10,57 ± 0,0603</t>
  </si>
  <si>
    <t>33,3 ± 6,4933</t>
  </si>
  <si>
    <t>25 ± 7,9097</t>
  </si>
  <si>
    <t>44,4 ± 13,1195</t>
  </si>
  <si>
    <t>84,648 ± 0,3145</t>
  </si>
  <si>
    <t>83,305 ± 2,3922</t>
  </si>
  <si>
    <t>83,773 ± 1,8038</t>
  </si>
  <si>
    <t>45,5 ± 0</t>
  </si>
  <si>
    <t>52,04 ± 1,3066</t>
  </si>
  <si>
    <t>79,68 ± 1,8664</t>
  </si>
  <si>
    <t>84,73 ± 1,9608</t>
  </si>
  <si>
    <t>280,864 ± 2,4038</t>
  </si>
  <si>
    <t>282,556 ± 2,3990</t>
  </si>
  <si>
    <t>42,26 ± 0,0721</t>
  </si>
  <si>
    <t>21,31 ± 0,0473</t>
  </si>
  <si>
    <t>10,82 ± 0,0289</t>
  </si>
  <si>
    <t>25 ± 4,7920</t>
  </si>
  <si>
    <t>33,3 ± 4,7920</t>
  </si>
  <si>
    <t>25 ± 14,4338</t>
  </si>
  <si>
    <t>83,813 ± 1,0344</t>
  </si>
  <si>
    <t>83 ± 0,9390</t>
  </si>
  <si>
    <t>83,652 ± 1,2901</t>
  </si>
  <si>
    <t>138,45 ± 2,4666</t>
  </si>
  <si>
    <t>162,74 ± 5,0663</t>
  </si>
  <si>
    <t>171,01 ± 0,7769</t>
  </si>
  <si>
    <t>282,57 ± 2,4350</t>
  </si>
  <si>
    <t>286,7 ± 22,4754</t>
  </si>
  <si>
    <t>42,14 ± 0,2003</t>
  </si>
  <si>
    <t>21,12 ± 0,0839</t>
  </si>
  <si>
    <t>10,64 ± 0,0513</t>
  </si>
  <si>
    <t>33,3 ± 12,7330</t>
  </si>
  <si>
    <t>83,941 ± 1,7527</t>
  </si>
  <si>
    <t>84,836 ± 1,0199</t>
  </si>
  <si>
    <t>81,871 ± 2,2031</t>
  </si>
  <si>
    <t xml:space="preserve">45,5 ± 0 </t>
  </si>
  <si>
    <t>214,39 ± 4,0823</t>
  </si>
  <si>
    <t>244,13 ± 2,7898</t>
  </si>
  <si>
    <t>249,94 ± 4,1788</t>
  </si>
  <si>
    <t>282,4 ± 30,2431</t>
  </si>
  <si>
    <t>41,96 ± 0,1222</t>
  </si>
  <si>
    <t>21,06 ± 0,1270</t>
  </si>
  <si>
    <t>10,68 ± 0,1193</t>
  </si>
  <si>
    <t>40 ± 5,7735</t>
  </si>
  <si>
    <t>91,848 ± 1,1426</t>
  </si>
  <si>
    <t>88,996 ± 1,1074</t>
  </si>
  <si>
    <t>90,082 ± 0,5547</t>
  </si>
  <si>
    <t>46,5 ± 0</t>
  </si>
  <si>
    <t>120,94 ± 76,1691</t>
  </si>
  <si>
    <t>151,05 ± 74,7451</t>
  </si>
  <si>
    <t>154,75 ± 77,3534</t>
  </si>
  <si>
    <t>292,38 ± 1,0372</t>
  </si>
  <si>
    <t>292,401 ± 0,0700</t>
  </si>
  <si>
    <t>292,411 ± 0,0700</t>
  </si>
  <si>
    <r>
      <rPr>
        <rFont val="Arial"/>
        <b/>
        <color theme="1"/>
        <sz val="14.0"/>
      </rPr>
      <t xml:space="preserve">Capella - 147 Mb
</t>
    </r>
    <r>
      <rPr>
        <rFont val="Arial"/>
        <b val="0"/>
        <color theme="1"/>
        <sz val="9.0"/>
      </rPr>
      <t>Hashing</t>
    </r>
  </si>
  <si>
    <t>1624 ± 0,5774</t>
  </si>
  <si>
    <t>814 ± 1,0000</t>
  </si>
  <si>
    <t>408 ± 0,5774</t>
  </si>
  <si>
    <t>33,3 ± 0</t>
  </si>
  <si>
    <t>100,52 ± 0,9379</t>
  </si>
  <si>
    <t>91,58 ± 0,7742</t>
  </si>
  <si>
    <t>88,76 ± 0,3315</t>
  </si>
  <si>
    <t>45,5 ± 0,2887</t>
  </si>
  <si>
    <t>17,73 ± 1,6901</t>
  </si>
  <si>
    <t>60,91 ± 1,8249</t>
  </si>
  <si>
    <t>82,4 ± 1,7558</t>
  </si>
  <si>
    <t>204,9 ± 2,3965</t>
  </si>
  <si>
    <t>282,6 ± 2,4269</t>
  </si>
  <si>
    <t>1638 ± 2,8868</t>
  </si>
  <si>
    <t>826 ± 2,0817</t>
  </si>
  <si>
    <t>420 ± 0,5774</t>
  </si>
  <si>
    <t>25 ± 8,6603</t>
  </si>
  <si>
    <t>100,64 ± 0,4100</t>
  </si>
  <si>
    <t>92,96 ± 0,2804</t>
  </si>
  <si>
    <t>88,85 ± 0,6331</t>
  </si>
  <si>
    <t>101,08 ± 2,4722</t>
  </si>
  <si>
    <t>143,74 ± 2,4341</t>
  </si>
  <si>
    <t>165,2 ± 2,1595</t>
  </si>
  <si>
    <t>1632 ± 4,6188</t>
  </si>
  <si>
    <t>818 ± 2,0817</t>
  </si>
  <si>
    <t>412 ± 1,0000</t>
  </si>
  <si>
    <t>100,65 ± 0,6409</t>
  </si>
  <si>
    <t>92,36 ± 0,4431</t>
  </si>
  <si>
    <t>88,13 ± 0,4464</t>
  </si>
  <si>
    <t>183,38 ± 2,6762</t>
  </si>
  <si>
    <t>225,45 ± 2,8138</t>
  </si>
  <si>
    <t>246,77 ± 2,7004</t>
  </si>
  <si>
    <t>1626 ± 7,3711</t>
  </si>
  <si>
    <t>815 ± 6,2450</t>
  </si>
  <si>
    <t>411 ± 5,5678</t>
  </si>
  <si>
    <t>107,01 ± 0,3764</t>
  </si>
  <si>
    <t>97,87 ± 0,5632</t>
  </si>
  <si>
    <t>93,97 ± 0,5256</t>
  </si>
  <si>
    <t>93,42 ± 74,3902</t>
  </si>
  <si>
    <t>133,72 ± 74,2010</t>
  </si>
  <si>
    <t>153,1 ± 75,0201</t>
  </si>
  <si>
    <t>292,34 ± 44,6745</t>
  </si>
  <si>
    <t>292,38 ± 0,0770</t>
  </si>
  <si>
    <t>292,4 ± 0,0869</t>
  </si>
  <si>
    <r>
      <rPr>
        <rFont val="Arial, sans-serif"/>
        <b/>
        <color rgb="FF000000"/>
        <sz val="14.0"/>
      </rPr>
      <t xml:space="preserve">Brazil-Ortigueira - 3.8 Mb
</t>
    </r>
    <r>
      <rPr>
        <rFont val="Arial, sans-serif"/>
        <b val="0"/>
        <color rgb="FF000000"/>
        <sz val="10.0"/>
      </rPr>
      <t>Idle Time - Before &amp; After</t>
    </r>
  </si>
  <si>
    <t>Idle Time (seconds) - Before &amp; After</t>
  </si>
  <si>
    <t>CPU Consumption (%) - Before &amp; After - Median</t>
  </si>
  <si>
    <t>Memory Used (Mb) - Before &amp; After - Median</t>
  </si>
  <si>
    <t>Temperature (°C - Degree Celcius) - Before &amp; After - Median</t>
  </si>
  <si>
    <t>Disk i/o (Write - Mb/s) - Before &amp; After - Median</t>
  </si>
  <si>
    <t>Disk i/o (Read - Mb/s) - Before &amp; After - Median</t>
  </si>
  <si>
    <t>Before</t>
  </si>
  <si>
    <t>After</t>
  </si>
  <si>
    <t>Median - Overall</t>
  </si>
  <si>
    <t>Stdev - Overall</t>
  </si>
  <si>
    <t>TOTALS - Brazil-Ortigueira - Idle (before+after)</t>
  </si>
  <si>
    <t>Time</t>
  </si>
  <si>
    <t>Median</t>
  </si>
  <si>
    <t>Stdev</t>
  </si>
  <si>
    <t>-</t>
  </si>
  <si>
    <t>Temperature (°C) - Before &amp; After - Median</t>
  </si>
  <si>
    <r>
      <rPr>
        <rFont val="Arial, sans-serif"/>
        <b/>
        <color rgb="FF000000"/>
        <sz val="14.0"/>
      </rPr>
      <t xml:space="preserve">Capella - 147 Mb
</t>
    </r>
    <r>
      <rPr>
        <rFont val="Arial, sans-serif"/>
        <b val="0"/>
        <color rgb="FF000000"/>
        <sz val="10.0"/>
      </rPr>
      <t>Idle Time - Before &amp; After</t>
    </r>
  </si>
  <si>
    <t>Time (seconds)</t>
  </si>
  <si>
    <t>TOTALS - Capella - Idle (before+after)</t>
  </si>
  <si>
    <r>
      <rPr>
        <rFont val="Arial, sans-serif"/>
        <b/>
        <color rgb="FF000000"/>
        <sz val="14.0"/>
      </rPr>
      <t xml:space="preserve">Brazil-Ortigueira - 3.8 Mb
</t>
    </r>
    <r>
      <rPr>
        <rFont val="Arial, sans-serif"/>
        <b val="0"/>
        <color rgb="FF000000"/>
        <sz val="10.0"/>
      </rPr>
      <t>Hashing</t>
    </r>
  </si>
  <si>
    <r>
      <rPr>
        <rFont val="Arial, sans-serif"/>
        <b/>
        <color rgb="FF000000"/>
        <sz val="14.0"/>
      </rPr>
      <t xml:space="preserve">Brazil-Ortigueira - 3.8 Mb
</t>
    </r>
    <r>
      <rPr>
        <rFont val="Arial, sans-serif"/>
        <b val="0"/>
        <color rgb="FF000000"/>
        <sz val="10.0"/>
      </rPr>
      <t>Idle Time - Before &amp; After</t>
    </r>
  </si>
  <si>
    <r>
      <rPr>
        <rFont val="Arial"/>
        <b/>
        <color theme="1"/>
        <sz val="14.0"/>
      </rPr>
      <t xml:space="preserve">Brazil-Ortigueira - 3.8 Mb
</t>
    </r>
    <r>
      <rPr>
        <rFont val="Arial"/>
        <b val="0"/>
        <color theme="1"/>
        <sz val="10.0"/>
      </rPr>
      <t>Increased Consumption</t>
    </r>
  </si>
  <si>
    <r>
      <rPr>
        <rFont val="Arial, sans-serif"/>
        <b/>
        <color rgb="FF000000"/>
        <sz val="14.0"/>
      </rPr>
      <t xml:space="preserve">Capella - 147 Mb
</t>
    </r>
    <r>
      <rPr>
        <rFont val="Arial, sans-serif"/>
        <b val="0"/>
        <color rgb="FF000000"/>
        <sz val="10.0"/>
      </rPr>
      <t>Hashing Time</t>
    </r>
  </si>
  <si>
    <r>
      <rPr>
        <rFont val="Arial, sans-serif"/>
        <b/>
        <color rgb="FF000000"/>
        <sz val="14.0"/>
      </rPr>
      <t xml:space="preserve">Capella - 147 Mb
</t>
    </r>
    <r>
      <rPr>
        <rFont val="Arial, sans-serif"/>
        <b val="0"/>
        <color rgb="FF000000"/>
        <sz val="10.0"/>
      </rPr>
      <t>Idle Time - Before &amp; After</t>
    </r>
  </si>
  <si>
    <r>
      <rPr>
        <rFont val="Arial"/>
        <b/>
        <color theme="1"/>
        <sz val="14.0"/>
      </rPr>
      <t xml:space="preserve">Capella - 147 Mb
</t>
    </r>
    <r>
      <rPr>
        <rFont val="Arial"/>
        <b val="0"/>
        <color theme="1"/>
        <sz val="10.0"/>
      </rPr>
      <t>Increased Consumption</t>
    </r>
  </si>
  <si>
    <t>Metric</t>
  </si>
  <si>
    <t>Chunk Size</t>
  </si>
  <si>
    <t>MD5 (Brazil-Ortigueira - 3.8 Mb)</t>
  </si>
  <si>
    <t>MD5 (Capella - 147 Mb)</t>
  </si>
  <si>
    <t>Ratio</t>
  </si>
  <si>
    <t>SHA3-256 (Brazil-Ortigueira - 3.8 Mb)</t>
  </si>
  <si>
    <t>SHA3-256 (Capella - 147 Mb)</t>
  </si>
  <si>
    <t>SHA256 (Brazil-Ortigueira - 3.8 Mb)</t>
  </si>
  <si>
    <t>SHA256 (Capella - 147 Mb)</t>
  </si>
  <si>
    <t>41.98</t>
  </si>
  <si>
    <t>38.69</t>
  </si>
  <si>
    <t>42.26</t>
  </si>
  <si>
    <t>38.76</t>
  </si>
  <si>
    <t>42.14</t>
  </si>
  <si>
    <t>38.73</t>
  </si>
  <si>
    <t>21.31</t>
  </si>
  <si>
    <t>10.57</t>
  </si>
  <si>
    <t>38.60</t>
  </si>
  <si>
    <t>10.82</t>
  </si>
  <si>
    <t>38.82</t>
  </si>
  <si>
    <t>10.64</t>
  </si>
  <si>
    <t>38.72</t>
  </si>
  <si>
    <t>CPU Consumption (%)</t>
  </si>
  <si>
    <t>33.3</t>
  </si>
  <si>
    <t>1.00</t>
  </si>
  <si>
    <t>25.0</t>
  </si>
  <si>
    <t>1.33</t>
  </si>
  <si>
    <t>44.4</t>
  </si>
  <si>
    <t>0.75</t>
  </si>
  <si>
    <t>Memory Usage (Mb)</t>
  </si>
  <si>
    <t>100.52</t>
  </si>
  <si>
    <t>1.19</t>
  </si>
  <si>
    <t>100.64</t>
  </si>
  <si>
    <t>1.20</t>
  </si>
  <si>
    <t>100.65</t>
  </si>
  <si>
    <t>91.58</t>
  </si>
  <si>
    <t>92.96</t>
  </si>
  <si>
    <t>92.36</t>
  </si>
  <si>
    <t>88.76</t>
  </si>
  <si>
    <t>88.85</t>
  </si>
  <si>
    <t>88.13</t>
  </si>
  <si>
    <t>Temperature (°C - Degree Celcius)</t>
  </si>
  <si>
    <t>All</t>
  </si>
  <si>
    <t>45.5</t>
  </si>
  <si>
    <t>Disk i/o (Write - Mb/s)</t>
  </si>
  <si>
    <t>52.04</t>
  </si>
  <si>
    <t>17.73</t>
  </si>
  <si>
    <t>0.34</t>
  </si>
  <si>
    <t>138.45</t>
  </si>
  <si>
    <t>101.08</t>
  </si>
  <si>
    <t>0.73</t>
  </si>
  <si>
    <t>214.39</t>
  </si>
  <si>
    <t>183.38</t>
  </si>
  <si>
    <t>0.86</t>
  </si>
  <si>
    <t>79.68</t>
  </si>
  <si>
    <t>60.91</t>
  </si>
  <si>
    <t>0.76</t>
  </si>
  <si>
    <t>162.74</t>
  </si>
  <si>
    <t>143.74</t>
  </si>
  <si>
    <t>0.88</t>
  </si>
  <si>
    <t>244.13</t>
  </si>
  <si>
    <t>225.45</t>
  </si>
  <si>
    <t>0.92</t>
  </si>
  <si>
    <t>84.73</t>
  </si>
  <si>
    <t>82.4</t>
  </si>
  <si>
    <t>0.97</t>
  </si>
  <si>
    <t>171.01</t>
  </si>
  <si>
    <t>165.2</t>
  </si>
  <si>
    <t>249.94</t>
  </si>
  <si>
    <t>246.77</t>
  </si>
  <si>
    <t>0.99</t>
  </si>
  <si>
    <t>Disk i/o (Read - Mb/s)</t>
  </si>
  <si>
    <t>204.9</t>
  </si>
  <si>
    <t>282.57</t>
  </si>
  <si>
    <t>286.7</t>
  </si>
  <si>
    <t>282.6</t>
  </si>
  <si>
    <t>282.4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</si>
</sst>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00"/>
    <numFmt numFmtId="166" formatCode="m.yyyy"/>
    <numFmt numFmtId="167" formatCode="dd.mm"/>
    <numFmt numFmtId="168" formatCode="d.m"/>
  </numFmts>
  <fonts count="16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1.0"/>
      <color rgb="FF000000"/>
      <name val="Arial"/>
    </font>
    <font/>
    <font>
      <b/>
      <color theme="1"/>
      <name val="Arial"/>
      <scheme val="minor"/>
    </font>
    <font>
      <b/>
      <color rgb="FF000000"/>
      <name val="Arial"/>
    </font>
    <font>
      <b/>
      <color rgb="FFFFFFFF"/>
      <name val="Arial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4" fontId="5" numFmtId="0" xfId="0" applyAlignment="1" applyBorder="1" applyFont="1">
      <alignment horizontal="center" readingOrder="0" shrinkToFit="0" wrapText="1"/>
    </xf>
    <xf borderId="1" fillId="5" fontId="5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horizontal="center" readingOrder="0" shrinkToFit="0" wrapText="1"/>
    </xf>
    <xf borderId="1" fillId="7" fontId="5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1" fillId="8" fontId="6" numFmtId="0" xfId="0" applyAlignment="1" applyBorder="1" applyFill="1" applyFont="1">
      <alignment horizontal="center"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10" xfId="0" applyAlignment="1" applyBorder="1" applyFont="1" applyNumberFormat="1">
      <alignment horizontal="center" readingOrder="0" shrinkToFit="0" wrapText="1"/>
    </xf>
    <xf borderId="1" fillId="8" fontId="7" numFmtId="9" xfId="0" applyAlignment="1" applyBorder="1" applyFont="1" applyNumberFormat="1">
      <alignment horizontal="center" readingOrder="0" shrinkToFit="0" wrapText="1"/>
    </xf>
    <xf borderId="1" fillId="8" fontId="8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4" fontId="8" numFmtId="0" xfId="0" applyAlignment="1" applyBorder="1" applyFont="1">
      <alignment horizontal="center" readingOrder="0" shrinkToFit="0" vertical="top" wrapText="1"/>
    </xf>
    <xf borderId="1" fillId="5" fontId="8" numFmtId="0" xfId="0" applyAlignment="1" applyBorder="1" applyFont="1">
      <alignment horizontal="center" readingOrder="0" shrinkToFit="0" vertical="top" wrapText="1"/>
    </xf>
    <xf borderId="1" fillId="6" fontId="9" numFmtId="0" xfId="0" applyAlignment="1" applyBorder="1" applyFont="1">
      <alignment horizontal="center" shrinkToFit="0" vertical="top" wrapText="1"/>
    </xf>
    <xf borderId="1" fillId="7" fontId="8" numFmtId="0" xfId="0" applyAlignment="1" applyBorder="1" applyFont="1">
      <alignment horizontal="center" readingOrder="0" shrinkToFit="0" vertical="top" wrapText="1"/>
    </xf>
    <xf borderId="1" fillId="6" fontId="8" numFmtId="0" xfId="0" applyAlignment="1" applyBorder="1" applyFont="1">
      <alignment horizontal="center" readingOrder="0" shrinkToFit="0" vertical="top" wrapText="1"/>
    </xf>
    <xf borderId="1" fillId="9" fontId="5" numFmtId="0" xfId="0" applyAlignment="1" applyBorder="1" applyFill="1" applyFont="1">
      <alignment horizontal="center" readingOrder="0" shrinkToFit="0" wrapText="1"/>
    </xf>
    <xf borderId="1" fillId="9" fontId="7" numFmtId="0" xfId="0" applyAlignment="1" applyBorder="1" applyFont="1">
      <alignment horizontal="center" readingOrder="0" shrinkToFit="0" wrapText="1"/>
    </xf>
    <xf borderId="1" fillId="9" fontId="7" numFmtId="164" xfId="0" applyAlignment="1" applyBorder="1" applyFont="1" applyNumberFormat="1">
      <alignment horizontal="center" readingOrder="0" shrinkToFit="0" wrapText="1"/>
    </xf>
    <xf borderId="1" fillId="9" fontId="8" numFmtId="164" xfId="0" applyAlignment="1" applyBorder="1" applyFont="1" applyNumberFormat="1">
      <alignment horizontal="center" readingOrder="0" shrinkToFit="0" vertical="top" wrapText="1"/>
    </xf>
    <xf borderId="1" fillId="9" fontId="8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/>
    </xf>
    <xf borderId="1" fillId="2" fontId="8" numFmtId="0" xfId="0" applyAlignment="1" applyBorder="1" applyFont="1">
      <alignment horizontal="center" readingOrder="0" shrinkToFit="0" vertical="top" wrapText="1"/>
    </xf>
    <xf borderId="1" fillId="3" fontId="8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6" fontId="9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vertical="top" wrapText="1"/>
    </xf>
    <xf borderId="1" fillId="0" fontId="10" numFmtId="0" xfId="0" applyAlignment="1" applyBorder="1" applyFont="1">
      <alignment horizontal="center" readingOrder="0" shrinkToFit="0" wrapText="1"/>
    </xf>
    <xf borderId="2" fillId="2" fontId="11" numFmtId="0" xfId="0" applyAlignment="1" applyBorder="1" applyFont="1">
      <alignment horizontal="center" shrinkToFit="0" wrapText="1"/>
    </xf>
    <xf borderId="2" fillId="3" fontId="11" numFmtId="0" xfId="0" applyAlignment="1" applyBorder="1" applyFont="1">
      <alignment horizontal="center" shrinkToFit="0" wrapText="1"/>
    </xf>
    <xf borderId="2" fillId="4" fontId="12" numFmtId="0" xfId="0" applyAlignment="1" applyBorder="1" applyFont="1">
      <alignment horizontal="center" shrinkToFit="0" wrapText="1"/>
    </xf>
    <xf borderId="2" fillId="5" fontId="12" numFmtId="0" xfId="0" applyAlignment="1" applyBorder="1" applyFont="1">
      <alignment horizontal="center" shrinkToFit="0" wrapText="1"/>
    </xf>
    <xf borderId="2" fillId="6" fontId="12" numFmtId="0" xfId="0" applyAlignment="1" applyBorder="1" applyFont="1">
      <alignment horizontal="center" shrinkToFit="0" wrapText="1"/>
    </xf>
    <xf borderId="2" fillId="7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bottom" wrapText="1"/>
    </xf>
    <xf borderId="1" fillId="2" fontId="12" numFmtId="0" xfId="0" applyAlignment="1" applyBorder="1" applyFont="1">
      <alignment horizontal="center" shrinkToFit="0" vertical="bottom" wrapText="1"/>
    </xf>
    <xf borderId="1" fillId="3" fontId="12" numFmtId="0" xfId="0" applyAlignment="1" applyBorder="1" applyFont="1">
      <alignment horizontal="center" shrinkToFit="0" vertical="bottom" wrapText="1"/>
    </xf>
    <xf borderId="1" fillId="4" fontId="12" numFmtId="0" xfId="0" applyAlignment="1" applyBorder="1" applyFont="1">
      <alignment horizontal="center" shrinkToFit="0" vertical="bottom" wrapText="1"/>
    </xf>
    <xf borderId="1" fillId="5" fontId="12" numFmtId="0" xfId="0" applyAlignment="1" applyBorder="1" applyFont="1">
      <alignment horizontal="center" shrinkToFit="0" vertical="bottom" wrapText="1"/>
    </xf>
    <xf borderId="1" fillId="6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1" fillId="8" fontId="6" numFmtId="0" xfId="0" applyAlignment="1" applyBorder="1" applyFont="1">
      <alignment horizontal="center" shrinkToFit="0" vertical="bottom" wrapText="1"/>
    </xf>
    <xf borderId="1" fillId="8" fontId="9" numFmtId="0" xfId="0" applyAlignment="1" applyBorder="1" applyFont="1">
      <alignment vertical="bottom"/>
    </xf>
    <xf borderId="1" fillId="8" fontId="9" numFmtId="10" xfId="0" applyAlignment="1" applyBorder="1" applyFont="1" applyNumberFormat="1">
      <alignment vertical="bottom"/>
    </xf>
    <xf borderId="1" fillId="8" fontId="9" numFmtId="9" xfId="0" applyAlignment="1" applyBorder="1" applyFont="1" applyNumberFormat="1">
      <alignment vertical="bottom"/>
    </xf>
    <xf borderId="1" fillId="8" fontId="9" numFmtId="0" xfId="0" applyAlignment="1" applyBorder="1" applyFont="1">
      <alignment vertical="top"/>
    </xf>
    <xf borderId="1" fillId="9" fontId="12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horizontal="center" shrinkToFit="0" vertical="bottom" wrapText="1"/>
    </xf>
    <xf borderId="1" fillId="3" fontId="9" numFmtId="0" xfId="0" applyAlignment="1" applyBorder="1" applyFont="1">
      <alignment horizontal="center" shrinkToFit="0" vertical="bottom" wrapText="1"/>
    </xf>
    <xf borderId="1" fillId="4" fontId="9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center" shrinkToFit="0" vertical="top" wrapText="1"/>
    </xf>
    <xf borderId="1" fillId="6" fontId="9" numFmtId="0" xfId="0" applyAlignment="1" applyBorder="1" applyFont="1">
      <alignment horizontal="center" shrinkToFit="0" vertical="top" wrapText="1"/>
    </xf>
    <xf borderId="1" fillId="7" fontId="9" numFmtId="0" xfId="0" applyAlignment="1" applyBorder="1" applyFont="1">
      <alignment horizontal="center" shrinkToFit="0" vertical="top" wrapText="1"/>
    </xf>
    <xf borderId="5" fillId="0" fontId="9" numFmtId="0" xfId="0" applyAlignment="1" applyBorder="1" applyFont="1">
      <alignment vertical="bottom"/>
    </xf>
    <xf borderId="5" fillId="0" fontId="9" numFmtId="0" xfId="0" applyAlignment="1" applyBorder="1" applyFont="1">
      <alignment vertical="top"/>
    </xf>
    <xf borderId="1" fillId="2" fontId="9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top"/>
    </xf>
    <xf borderId="2" fillId="2" fontId="5" numFmtId="0" xfId="0" applyAlignment="1" applyBorder="1" applyFont="1">
      <alignment horizontal="center" readingOrder="0" shrinkToFit="0" wrapText="1"/>
    </xf>
    <xf borderId="2" fillId="3" fontId="5" numFmtId="0" xfId="0" applyAlignment="1" applyBorder="1" applyFont="1">
      <alignment horizontal="center" readingOrder="0" shrinkToFit="0" wrapText="1"/>
    </xf>
    <xf borderId="2" fillId="4" fontId="5" numFmtId="0" xfId="0" applyAlignment="1" applyBorder="1" applyFont="1">
      <alignment horizontal="center" readingOrder="0" shrinkToFit="0" wrapText="1"/>
    </xf>
    <xf borderId="2" fillId="5" fontId="5" numFmtId="0" xfId="0" applyAlignment="1" applyBorder="1" applyFont="1">
      <alignment horizontal="center" readingOrder="0" shrinkToFit="0" wrapText="1"/>
    </xf>
    <xf borderId="2" fillId="6" fontId="5" numFmtId="0" xfId="0" applyAlignment="1" applyBorder="1" applyFont="1">
      <alignment horizontal="center" readingOrder="0" shrinkToFit="0" wrapText="1"/>
    </xf>
    <xf borderId="2" fillId="7" fontId="5" numFmtId="0" xfId="0" applyAlignment="1" applyBorder="1" applyFont="1">
      <alignment horizontal="center" readingOrder="0" shrinkToFit="0" wrapText="1"/>
    </xf>
    <xf borderId="1" fillId="9" fontId="7" numFmtId="1" xfId="0" applyAlignment="1" applyBorder="1" applyFont="1" applyNumberFormat="1">
      <alignment horizontal="center" readingOrder="0" shrinkToFit="0" wrapText="1"/>
    </xf>
    <xf borderId="1" fillId="10" fontId="5" numFmtId="0" xfId="0" applyAlignment="1" applyBorder="1" applyFill="1" applyFont="1">
      <alignment horizontal="center" readingOrder="0" shrinkToFit="0" wrapText="1"/>
    </xf>
    <xf borderId="1" fillId="11" fontId="8" numFmtId="0" xfId="0" applyAlignment="1" applyBorder="1" applyFill="1" applyFont="1">
      <alignment horizontal="center"/>
    </xf>
    <xf borderId="1" fillId="11" fontId="8" numFmtId="1" xfId="0" applyAlignment="1" applyBorder="1" applyFont="1" applyNumberFormat="1">
      <alignment horizontal="center"/>
    </xf>
    <xf borderId="1" fillId="11" fontId="8" numFmtId="164" xfId="0" applyAlignment="1" applyBorder="1" applyFont="1" applyNumberFormat="1">
      <alignment horizontal="center"/>
    </xf>
    <xf borderId="0" fillId="0" fontId="8" numFmtId="1" xfId="0" applyFont="1" applyNumberFormat="1"/>
    <xf borderId="0" fillId="0" fontId="8" numFmtId="1" xfId="0" applyAlignment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164" xfId="0" applyFont="1" applyNumberFormat="1"/>
    <xf borderId="1" fillId="9" fontId="4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/>
    </xf>
    <xf borderId="6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/>
    </xf>
    <xf borderId="6" fillId="0" fontId="8" numFmtId="164" xfId="0" applyAlignment="1" applyBorder="1" applyFont="1" applyNumberFormat="1">
      <alignment horizontal="center"/>
    </xf>
    <xf borderId="5" fillId="0" fontId="8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0" fillId="0" fontId="8" numFmtId="3" xfId="0" applyAlignment="1" applyFont="1" applyNumberForma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vertical="top" wrapText="1"/>
    </xf>
    <xf borderId="0" fillId="0" fontId="8" numFmtId="164" xfId="0" applyAlignment="1" applyFont="1" applyNumberFormat="1">
      <alignment horizontal="center" readingOrder="0" shrinkToFit="0" vertical="top" wrapText="1"/>
    </xf>
    <xf borderId="2" fillId="9" fontId="7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vertical="center"/>
    </xf>
    <xf borderId="0" fillId="8" fontId="8" numFmtId="0" xfId="0" applyAlignment="1" applyFont="1">
      <alignment horizontal="center"/>
    </xf>
    <xf borderId="6" fillId="9" fontId="5" numFmtId="0" xfId="0" applyAlignment="1" applyBorder="1" applyFont="1">
      <alignment horizontal="center" readingOrder="0" shrinkToFit="0" wrapText="1"/>
    </xf>
    <xf borderId="0" fillId="12" fontId="14" numFmtId="0" xfId="0" applyAlignment="1" applyFill="1" applyFont="1">
      <alignment horizontal="center" readingOrder="0"/>
    </xf>
    <xf borderId="1" fillId="12" fontId="14" numFmtId="0" xfId="0" applyAlignment="1" applyBorder="1" applyFont="1">
      <alignment horizontal="center" readingOrder="0"/>
    </xf>
    <xf borderId="6" fillId="2" fontId="15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1" fillId="0" fontId="8" numFmtId="167" xfId="0" applyAlignment="1" applyBorder="1" applyFont="1" applyNumberForma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168" xfId="0" applyAlignment="1" applyBorder="1" applyFont="1" applyNumberFormat="1">
      <alignment horizontal="center" readingOrder="0"/>
    </xf>
    <xf borderId="8" fillId="0" fontId="3" numFmtId="0" xfId="0" applyBorder="1" applyFont="1"/>
    <xf borderId="6" fillId="3" fontId="15" numFmtId="0" xfId="0" applyAlignment="1" applyBorder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1" fillId="0" fontId="8" numFmtId="3" xfId="0" applyAlignment="1" applyBorder="1" applyFont="1" applyNumberFormat="1">
      <alignment horizontal="center" readingOrder="0"/>
    </xf>
    <xf borderId="9" fillId="6" fontId="4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7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8.5"/>
    <col customWidth="1" min="3" max="3" width="7.5"/>
    <col customWidth="1" min="4" max="4" width="7.25"/>
    <col customWidth="1" min="5" max="5" width="10.0"/>
    <col customWidth="1" min="6" max="6" width="10.25"/>
    <col customWidth="1" min="7" max="7" width="8.38"/>
    <col customWidth="1" min="8" max="8" width="11.75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6" t="s">
        <v>3</v>
      </c>
      <c r="I1" s="3"/>
      <c r="J1" s="4"/>
      <c r="K1" s="7" t="s">
        <v>4</v>
      </c>
      <c r="L1" s="3"/>
      <c r="M1" s="4"/>
      <c r="N1" s="8" t="s">
        <v>5</v>
      </c>
      <c r="O1" s="3"/>
      <c r="P1" s="4"/>
      <c r="Q1" s="9" t="s">
        <v>6</v>
      </c>
      <c r="R1" s="3"/>
      <c r="S1" s="4"/>
    </row>
    <row r="2">
      <c r="A2" s="10" t="s">
        <v>7</v>
      </c>
      <c r="B2" s="11">
        <v>4096.0</v>
      </c>
      <c r="C2" s="11">
        <v>8192.0</v>
      </c>
      <c r="D2" s="11">
        <v>16384.0</v>
      </c>
      <c r="E2" s="12">
        <v>4096.0</v>
      </c>
      <c r="F2" s="12">
        <v>8192.0</v>
      </c>
      <c r="G2" s="12">
        <v>16384.0</v>
      </c>
      <c r="H2" s="13">
        <v>4096.0</v>
      </c>
      <c r="I2" s="13">
        <v>8192.0</v>
      </c>
      <c r="J2" s="13">
        <v>16384.0</v>
      </c>
      <c r="K2" s="14">
        <v>4096.0</v>
      </c>
      <c r="L2" s="14">
        <v>8192.0</v>
      </c>
      <c r="M2" s="14">
        <v>16384.0</v>
      </c>
      <c r="N2" s="15">
        <v>4096.0</v>
      </c>
      <c r="O2" s="15">
        <v>8192.0</v>
      </c>
      <c r="P2" s="15">
        <v>16384.0</v>
      </c>
      <c r="Q2" s="16">
        <v>4096.0</v>
      </c>
      <c r="R2" s="16">
        <v>8192.0</v>
      </c>
      <c r="S2" s="16">
        <v>16384.0</v>
      </c>
      <c r="T2" s="17"/>
      <c r="U2" s="17"/>
      <c r="V2" s="17"/>
      <c r="W2" s="17"/>
      <c r="X2" s="17"/>
      <c r="Y2" s="17"/>
      <c r="Z2" s="17"/>
    </row>
    <row r="3">
      <c r="A3" s="18" t="s">
        <v>8</v>
      </c>
      <c r="B3" s="19"/>
      <c r="C3" s="19"/>
      <c r="D3" s="19"/>
      <c r="E3" s="20"/>
      <c r="F3" s="20"/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>
      <c r="A4" s="23" t="s">
        <v>9</v>
      </c>
      <c r="B4" s="24">
        <v>41.99</v>
      </c>
      <c r="C4" s="24">
        <v>21.06</v>
      </c>
      <c r="D4" s="24">
        <v>10.57</v>
      </c>
      <c r="E4" s="25">
        <v>25.0</v>
      </c>
      <c r="F4" s="25">
        <v>25.0</v>
      </c>
      <c r="G4" s="25">
        <v>25.0</v>
      </c>
      <c r="H4" s="26">
        <v>84.648</v>
      </c>
      <c r="I4" s="26">
        <v>81.441</v>
      </c>
      <c r="J4" s="26">
        <v>86.375</v>
      </c>
      <c r="K4" s="27">
        <v>45.5</v>
      </c>
      <c r="L4" s="27">
        <v>45.5</v>
      </c>
      <c r="M4" s="27">
        <v>45.5</v>
      </c>
      <c r="N4" s="28">
        <v>50.01</v>
      </c>
      <c r="O4" s="28">
        <v>79.68</v>
      </c>
      <c r="P4" s="28">
        <v>85.26</v>
      </c>
      <c r="Q4" s="29">
        <v>280.864</v>
      </c>
      <c r="R4" s="29">
        <v>282.556</v>
      </c>
      <c r="S4" s="29">
        <v>282.556</v>
      </c>
    </row>
    <row r="5">
      <c r="A5" s="23" t="s">
        <v>10</v>
      </c>
      <c r="B5" s="24">
        <v>41.98</v>
      </c>
      <c r="C5" s="24">
        <v>20.98</v>
      </c>
      <c r="D5" s="24">
        <v>10.52</v>
      </c>
      <c r="E5" s="25">
        <v>33.3</v>
      </c>
      <c r="F5" s="25">
        <v>25.0</v>
      </c>
      <c r="G5" s="25">
        <v>50.0</v>
      </c>
      <c r="H5" s="26">
        <v>84.328</v>
      </c>
      <c r="I5" s="26">
        <v>83.305</v>
      </c>
      <c r="J5" s="26">
        <v>82.91</v>
      </c>
      <c r="K5" s="27">
        <v>45.5</v>
      </c>
      <c r="L5" s="27">
        <v>45.5</v>
      </c>
      <c r="M5" s="27">
        <v>45.5</v>
      </c>
      <c r="N5" s="30">
        <v>52.04</v>
      </c>
      <c r="O5" s="30">
        <v>80.07</v>
      </c>
      <c r="P5" s="30">
        <v>84.73</v>
      </c>
      <c r="Q5" s="29">
        <v>280.713</v>
      </c>
      <c r="R5" s="29">
        <v>282.442</v>
      </c>
      <c r="S5" s="29">
        <v>282.442</v>
      </c>
    </row>
    <row r="6">
      <c r="A6" s="23" t="s">
        <v>11</v>
      </c>
      <c r="B6" s="24">
        <v>41.92</v>
      </c>
      <c r="C6" s="24">
        <v>21.02</v>
      </c>
      <c r="D6" s="24">
        <v>10.64</v>
      </c>
      <c r="E6" s="25">
        <v>37.8</v>
      </c>
      <c r="F6" s="25">
        <v>38.7</v>
      </c>
      <c r="G6" s="25">
        <v>44.4</v>
      </c>
      <c r="H6" s="26">
        <v>84.957</v>
      </c>
      <c r="I6" s="26">
        <v>86.189</v>
      </c>
      <c r="J6" s="26">
        <v>83.773</v>
      </c>
      <c r="K6" s="27">
        <v>45.5</v>
      </c>
      <c r="L6" s="27">
        <v>45.5</v>
      </c>
      <c r="M6" s="27">
        <v>45.5</v>
      </c>
      <c r="N6" s="30">
        <v>52.45</v>
      </c>
      <c r="O6" s="30">
        <v>76.66</v>
      </c>
      <c r="P6" s="30">
        <v>81.63</v>
      </c>
      <c r="Q6" s="29">
        <v>284.95</v>
      </c>
      <c r="R6" s="29">
        <v>286.653</v>
      </c>
      <c r="S6" s="29">
        <v>286.653</v>
      </c>
    </row>
    <row r="7">
      <c r="A7" s="31" t="s">
        <v>12</v>
      </c>
      <c r="B7" s="32">
        <f t="shared" ref="B7:S7" si="1">MEDIAN(B4:B6)</f>
        <v>41.98</v>
      </c>
      <c r="C7" s="32">
        <f t="shared" si="1"/>
        <v>21.02</v>
      </c>
      <c r="D7" s="32">
        <f t="shared" si="1"/>
        <v>10.57</v>
      </c>
      <c r="E7" s="32">
        <f t="shared" si="1"/>
        <v>33.3</v>
      </c>
      <c r="F7" s="32">
        <f t="shared" si="1"/>
        <v>25</v>
      </c>
      <c r="G7" s="32">
        <f t="shared" si="1"/>
        <v>44.4</v>
      </c>
      <c r="H7" s="32">
        <f t="shared" si="1"/>
        <v>84.648</v>
      </c>
      <c r="I7" s="32">
        <f t="shared" si="1"/>
        <v>83.305</v>
      </c>
      <c r="J7" s="32">
        <f t="shared" si="1"/>
        <v>83.773</v>
      </c>
      <c r="K7" s="32">
        <f t="shared" si="1"/>
        <v>45.5</v>
      </c>
      <c r="L7" s="32">
        <f t="shared" si="1"/>
        <v>45.5</v>
      </c>
      <c r="M7" s="32">
        <f t="shared" si="1"/>
        <v>45.5</v>
      </c>
      <c r="N7" s="32">
        <f t="shared" si="1"/>
        <v>52.04</v>
      </c>
      <c r="O7" s="32">
        <f t="shared" si="1"/>
        <v>79.68</v>
      </c>
      <c r="P7" s="32">
        <f t="shared" si="1"/>
        <v>84.73</v>
      </c>
      <c r="Q7" s="32">
        <f t="shared" si="1"/>
        <v>280.864</v>
      </c>
      <c r="R7" s="32">
        <f t="shared" si="1"/>
        <v>282.556</v>
      </c>
      <c r="S7" s="32">
        <f t="shared" si="1"/>
        <v>282.556</v>
      </c>
    </row>
    <row r="8">
      <c r="A8" s="31" t="s">
        <v>13</v>
      </c>
      <c r="B8" s="33">
        <f t="shared" ref="B8:S8" si="2">STDEV(B4:B6)</f>
        <v>0.03785938897</v>
      </c>
      <c r="C8" s="33">
        <f t="shared" si="2"/>
        <v>0.04</v>
      </c>
      <c r="D8" s="33">
        <f t="shared" si="2"/>
        <v>0.06027713773</v>
      </c>
      <c r="E8" s="33">
        <f t="shared" si="2"/>
        <v>6.493329911</v>
      </c>
      <c r="F8" s="33">
        <f t="shared" si="2"/>
        <v>7.909698688</v>
      </c>
      <c r="G8" s="33">
        <f t="shared" si="2"/>
        <v>13.11945121</v>
      </c>
      <c r="H8" s="34">
        <f t="shared" si="2"/>
        <v>0.3145160303</v>
      </c>
      <c r="I8" s="34">
        <f t="shared" si="2"/>
        <v>2.392190628</v>
      </c>
      <c r="J8" s="34">
        <f t="shared" si="2"/>
        <v>1.803764489</v>
      </c>
      <c r="K8" s="35">
        <f t="shared" si="2"/>
        <v>0</v>
      </c>
      <c r="L8" s="35">
        <f t="shared" si="2"/>
        <v>0</v>
      </c>
      <c r="M8" s="35">
        <f t="shared" si="2"/>
        <v>0</v>
      </c>
      <c r="N8" s="34">
        <f t="shared" si="2"/>
        <v>1.30656037</v>
      </c>
      <c r="O8" s="34">
        <f t="shared" si="2"/>
        <v>1.866395814</v>
      </c>
      <c r="P8" s="34">
        <f t="shared" si="2"/>
        <v>1.960773657</v>
      </c>
      <c r="Q8" s="34">
        <f t="shared" si="2"/>
        <v>2.403829098</v>
      </c>
      <c r="R8" s="34">
        <f t="shared" si="2"/>
        <v>2.398990274</v>
      </c>
      <c r="S8" s="34">
        <f t="shared" si="2"/>
        <v>2.398990274</v>
      </c>
    </row>
    <row r="9">
      <c r="A9" s="36"/>
    </row>
    <row r="10">
      <c r="A10" s="18" t="s">
        <v>14</v>
      </c>
      <c r="B10" s="19"/>
      <c r="C10" s="19"/>
      <c r="D10" s="19"/>
      <c r="E10" s="20"/>
      <c r="F10" s="20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>
      <c r="A11" s="23" t="s">
        <v>15</v>
      </c>
      <c r="B11" s="37">
        <v>42.26</v>
      </c>
      <c r="C11" s="37">
        <v>21.38</v>
      </c>
      <c r="D11" s="37">
        <v>10.82</v>
      </c>
      <c r="E11" s="38">
        <v>25.0</v>
      </c>
      <c r="F11" s="38">
        <v>25.0</v>
      </c>
      <c r="G11" s="38">
        <v>25.0</v>
      </c>
      <c r="H11" s="26">
        <v>84.699</v>
      </c>
      <c r="I11" s="26">
        <v>83.0</v>
      </c>
      <c r="J11" s="26">
        <v>83.652</v>
      </c>
      <c r="K11" s="27">
        <v>45.5</v>
      </c>
      <c r="L11" s="27">
        <v>45.5</v>
      </c>
      <c r="M11" s="27">
        <v>45.5</v>
      </c>
      <c r="N11" s="30">
        <v>138.61</v>
      </c>
      <c r="O11" s="30">
        <v>162.75</v>
      </c>
      <c r="P11" s="30">
        <v>172.01</v>
      </c>
      <c r="Q11" s="29">
        <v>282.57</v>
      </c>
      <c r="R11" s="29">
        <v>282.57</v>
      </c>
      <c r="S11" s="29">
        <v>323.3</v>
      </c>
    </row>
    <row r="12">
      <c r="A12" s="23" t="s">
        <v>16</v>
      </c>
      <c r="B12" s="37">
        <v>42.22</v>
      </c>
      <c r="C12" s="37">
        <v>21.29</v>
      </c>
      <c r="D12" s="37">
        <v>10.87</v>
      </c>
      <c r="E12" s="38">
        <v>33.3</v>
      </c>
      <c r="F12" s="38">
        <v>33.3</v>
      </c>
      <c r="G12" s="38">
        <v>25.0</v>
      </c>
      <c r="H12" s="26">
        <v>83.813</v>
      </c>
      <c r="I12" s="26">
        <v>84.477</v>
      </c>
      <c r="J12" s="26">
        <v>83.414</v>
      </c>
      <c r="K12" s="27">
        <v>45.5</v>
      </c>
      <c r="L12" s="27">
        <v>45.5</v>
      </c>
      <c r="M12" s="27">
        <v>45.5</v>
      </c>
      <c r="N12" s="30">
        <v>138.45</v>
      </c>
      <c r="O12" s="30">
        <v>162.74</v>
      </c>
      <c r="P12" s="30">
        <v>170.48</v>
      </c>
      <c r="Q12" s="29">
        <v>282.4</v>
      </c>
      <c r="R12" s="29">
        <v>282.4</v>
      </c>
      <c r="S12" s="29">
        <v>282.4</v>
      </c>
    </row>
    <row r="13">
      <c r="A13" s="23" t="s">
        <v>17</v>
      </c>
      <c r="B13" s="37">
        <v>42.36</v>
      </c>
      <c r="C13" s="37">
        <v>21.31</v>
      </c>
      <c r="D13" s="37">
        <v>10.82</v>
      </c>
      <c r="E13" s="38">
        <v>25.0</v>
      </c>
      <c r="F13" s="38">
        <v>33.3</v>
      </c>
      <c r="G13" s="38">
        <v>50.0</v>
      </c>
      <c r="H13" s="26">
        <v>82.637</v>
      </c>
      <c r="I13" s="26">
        <v>82.734</v>
      </c>
      <c r="J13" s="26">
        <v>85.758</v>
      </c>
      <c r="K13" s="27">
        <v>45.5</v>
      </c>
      <c r="L13" s="27">
        <v>45.5</v>
      </c>
      <c r="M13" s="27">
        <v>45.5</v>
      </c>
      <c r="N13" s="30">
        <v>134.26</v>
      </c>
      <c r="O13" s="30">
        <v>153.97</v>
      </c>
      <c r="P13" s="30">
        <v>171.01</v>
      </c>
      <c r="Q13" s="29">
        <v>286.7</v>
      </c>
      <c r="R13" s="29">
        <v>286.7</v>
      </c>
      <c r="S13" s="29">
        <v>286.7</v>
      </c>
    </row>
    <row r="14">
      <c r="A14" s="31" t="s">
        <v>12</v>
      </c>
      <c r="B14" s="32">
        <f t="shared" ref="B14:S14" si="3">MEDIAN(B11:B13)</f>
        <v>42.26</v>
      </c>
      <c r="C14" s="32">
        <f t="shared" si="3"/>
        <v>21.31</v>
      </c>
      <c r="D14" s="32">
        <f t="shared" si="3"/>
        <v>10.82</v>
      </c>
      <c r="E14" s="32">
        <f t="shared" si="3"/>
        <v>25</v>
      </c>
      <c r="F14" s="32">
        <f t="shared" si="3"/>
        <v>33.3</v>
      </c>
      <c r="G14" s="32">
        <f t="shared" si="3"/>
        <v>25</v>
      </c>
      <c r="H14" s="32">
        <f t="shared" si="3"/>
        <v>83.813</v>
      </c>
      <c r="I14" s="32">
        <f t="shared" si="3"/>
        <v>83</v>
      </c>
      <c r="J14" s="32">
        <f t="shared" si="3"/>
        <v>83.652</v>
      </c>
      <c r="K14" s="32">
        <f t="shared" si="3"/>
        <v>45.5</v>
      </c>
      <c r="L14" s="32">
        <f t="shared" si="3"/>
        <v>45.5</v>
      </c>
      <c r="M14" s="32">
        <f t="shared" si="3"/>
        <v>45.5</v>
      </c>
      <c r="N14" s="32">
        <f t="shared" si="3"/>
        <v>138.45</v>
      </c>
      <c r="O14" s="32">
        <f t="shared" si="3"/>
        <v>162.74</v>
      </c>
      <c r="P14" s="32">
        <f t="shared" si="3"/>
        <v>171.01</v>
      </c>
      <c r="Q14" s="32">
        <f t="shared" si="3"/>
        <v>282.57</v>
      </c>
      <c r="R14" s="32">
        <f t="shared" si="3"/>
        <v>282.57</v>
      </c>
      <c r="S14" s="32">
        <f t="shared" si="3"/>
        <v>286.7</v>
      </c>
    </row>
    <row r="15">
      <c r="A15" s="31" t="s">
        <v>13</v>
      </c>
      <c r="B15" s="33">
        <f t="shared" ref="B15:S15" si="4">STDEV(B11:B13)</f>
        <v>0.07211102551</v>
      </c>
      <c r="C15" s="33">
        <f t="shared" si="4"/>
        <v>0.04725815626</v>
      </c>
      <c r="D15" s="33">
        <f t="shared" si="4"/>
        <v>0.02886751346</v>
      </c>
      <c r="E15" s="33">
        <f t="shared" si="4"/>
        <v>4.792007234</v>
      </c>
      <c r="F15" s="33">
        <f t="shared" si="4"/>
        <v>4.792007234</v>
      </c>
      <c r="G15" s="33">
        <f t="shared" si="4"/>
        <v>14.43375673</v>
      </c>
      <c r="H15" s="34">
        <f t="shared" si="4"/>
        <v>1.03439322</v>
      </c>
      <c r="I15" s="34">
        <f t="shared" si="4"/>
        <v>0.93900071</v>
      </c>
      <c r="J15" s="34">
        <f t="shared" si="4"/>
        <v>1.290104389</v>
      </c>
      <c r="K15" s="35">
        <f t="shared" si="4"/>
        <v>0</v>
      </c>
      <c r="L15" s="35">
        <f t="shared" si="4"/>
        <v>0</v>
      </c>
      <c r="M15" s="35">
        <f t="shared" si="4"/>
        <v>0</v>
      </c>
      <c r="N15" s="34">
        <f t="shared" si="4"/>
        <v>2.466583332</v>
      </c>
      <c r="O15" s="34">
        <f t="shared" si="4"/>
        <v>5.066251079</v>
      </c>
      <c r="P15" s="34">
        <f t="shared" si="4"/>
        <v>0.776938436</v>
      </c>
      <c r="Q15" s="34">
        <f t="shared" si="4"/>
        <v>2.4350154</v>
      </c>
      <c r="R15" s="34">
        <f t="shared" si="4"/>
        <v>2.4350154</v>
      </c>
      <c r="S15" s="34">
        <f t="shared" si="4"/>
        <v>22.47539395</v>
      </c>
    </row>
    <row r="16">
      <c r="A16" s="36"/>
    </row>
    <row r="17">
      <c r="A17" s="18" t="s">
        <v>18</v>
      </c>
      <c r="B17" s="19"/>
      <c r="C17" s="19"/>
      <c r="D17" s="19"/>
      <c r="E17" s="20"/>
      <c r="F17" s="20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>
      <c r="A18" s="23" t="s">
        <v>19</v>
      </c>
      <c r="B18" s="37">
        <v>42.14</v>
      </c>
      <c r="C18" s="37">
        <v>21.11</v>
      </c>
      <c r="D18" s="37">
        <v>10.64</v>
      </c>
      <c r="E18" s="38">
        <v>25.0</v>
      </c>
      <c r="F18" s="38">
        <v>33.3</v>
      </c>
      <c r="G18" s="38">
        <v>25.0</v>
      </c>
      <c r="H18" s="26">
        <v>83.102</v>
      </c>
      <c r="I18" s="26">
        <v>84.836</v>
      </c>
      <c r="J18" s="26">
        <v>81.871</v>
      </c>
      <c r="K18" s="27">
        <v>45.5</v>
      </c>
      <c r="L18" s="27">
        <v>45.5</v>
      </c>
      <c r="M18" s="27">
        <v>45.5</v>
      </c>
      <c r="N18" s="30">
        <v>221.29</v>
      </c>
      <c r="O18" s="30">
        <v>244.82</v>
      </c>
      <c r="P18" s="30">
        <v>249.94</v>
      </c>
      <c r="Q18" s="29">
        <v>323.3</v>
      </c>
      <c r="R18" s="29">
        <v>232.3</v>
      </c>
      <c r="S18" s="29">
        <v>323.3</v>
      </c>
    </row>
    <row r="19">
      <c r="A19" s="23" t="s">
        <v>20</v>
      </c>
      <c r="B19" s="37">
        <v>42.36</v>
      </c>
      <c r="C19" s="37">
        <v>21.12</v>
      </c>
      <c r="D19" s="37">
        <v>10.71</v>
      </c>
      <c r="E19" s="38">
        <v>33.3</v>
      </c>
      <c r="F19" s="38">
        <v>25.0</v>
      </c>
      <c r="G19" s="38">
        <v>25.0</v>
      </c>
      <c r="H19" s="26">
        <v>86.469</v>
      </c>
      <c r="I19" s="26">
        <v>86.047</v>
      </c>
      <c r="J19" s="26">
        <v>85.168</v>
      </c>
      <c r="K19" s="27">
        <v>45.5</v>
      </c>
      <c r="L19" s="27">
        <v>45.5</v>
      </c>
      <c r="M19" s="27">
        <v>45.5</v>
      </c>
      <c r="N19" s="30">
        <v>214.39</v>
      </c>
      <c r="O19" s="30">
        <v>244.13</v>
      </c>
      <c r="P19" s="30">
        <v>256.65</v>
      </c>
      <c r="Q19" s="29">
        <v>282.4</v>
      </c>
      <c r="R19" s="29">
        <v>282.4</v>
      </c>
      <c r="S19" s="29">
        <v>282.4</v>
      </c>
    </row>
    <row r="20">
      <c r="A20" s="23" t="s">
        <v>21</v>
      </c>
      <c r="B20" s="37">
        <v>41.96</v>
      </c>
      <c r="C20" s="37">
        <v>21.26</v>
      </c>
      <c r="D20" s="37">
        <v>10.61</v>
      </c>
      <c r="E20" s="38">
        <v>50.0</v>
      </c>
      <c r="F20" s="38">
        <v>25.0</v>
      </c>
      <c r="G20" s="38">
        <v>50.0</v>
      </c>
      <c r="H20" s="26">
        <v>83.941</v>
      </c>
      <c r="I20" s="26">
        <v>84.02</v>
      </c>
      <c r="J20" s="26">
        <v>80.988</v>
      </c>
      <c r="K20" s="27">
        <v>45.5</v>
      </c>
      <c r="L20" s="27">
        <v>45.5</v>
      </c>
      <c r="M20" s="27">
        <v>45.5</v>
      </c>
      <c r="N20" s="30">
        <v>214.06</v>
      </c>
      <c r="O20" s="30">
        <v>239.68</v>
      </c>
      <c r="P20" s="30">
        <v>248.98</v>
      </c>
      <c r="Q20" s="29">
        <v>286.7</v>
      </c>
      <c r="R20" s="29">
        <v>286.7</v>
      </c>
      <c r="S20" s="29">
        <v>286.7</v>
      </c>
    </row>
    <row r="21">
      <c r="A21" s="31" t="s">
        <v>12</v>
      </c>
      <c r="B21" s="32">
        <f t="shared" ref="B21:S21" si="5">MEDIAN(B18:B20)</f>
        <v>42.14</v>
      </c>
      <c r="C21" s="32">
        <f t="shared" si="5"/>
        <v>21.12</v>
      </c>
      <c r="D21" s="32">
        <f t="shared" si="5"/>
        <v>10.64</v>
      </c>
      <c r="E21" s="32">
        <f t="shared" si="5"/>
        <v>33.3</v>
      </c>
      <c r="F21" s="32">
        <f t="shared" si="5"/>
        <v>25</v>
      </c>
      <c r="G21" s="32">
        <f t="shared" si="5"/>
        <v>25</v>
      </c>
      <c r="H21" s="32">
        <f t="shared" si="5"/>
        <v>83.941</v>
      </c>
      <c r="I21" s="32">
        <f t="shared" si="5"/>
        <v>84.836</v>
      </c>
      <c r="J21" s="32">
        <f t="shared" si="5"/>
        <v>81.871</v>
      </c>
      <c r="K21" s="32">
        <f t="shared" si="5"/>
        <v>45.5</v>
      </c>
      <c r="L21" s="32">
        <f t="shared" si="5"/>
        <v>45.5</v>
      </c>
      <c r="M21" s="32">
        <f t="shared" si="5"/>
        <v>45.5</v>
      </c>
      <c r="N21" s="32">
        <f t="shared" si="5"/>
        <v>214.39</v>
      </c>
      <c r="O21" s="32">
        <f t="shared" si="5"/>
        <v>244.13</v>
      </c>
      <c r="P21" s="32">
        <f t="shared" si="5"/>
        <v>249.94</v>
      </c>
      <c r="Q21" s="32">
        <f t="shared" si="5"/>
        <v>286.7</v>
      </c>
      <c r="R21" s="32">
        <f t="shared" si="5"/>
        <v>282.4</v>
      </c>
      <c r="S21" s="32">
        <f t="shared" si="5"/>
        <v>286.7</v>
      </c>
    </row>
    <row r="22">
      <c r="A22" s="31" t="s">
        <v>13</v>
      </c>
      <c r="B22" s="33">
        <f t="shared" ref="B22:S22" si="6">STDEV(B18:B20)</f>
        <v>0.200333056</v>
      </c>
      <c r="C22" s="33">
        <f t="shared" si="6"/>
        <v>0.08386497084</v>
      </c>
      <c r="D22" s="33">
        <f t="shared" si="6"/>
        <v>0.05131601439</v>
      </c>
      <c r="E22" s="33">
        <f t="shared" si="6"/>
        <v>12.73302792</v>
      </c>
      <c r="F22" s="33">
        <f t="shared" si="6"/>
        <v>4.792007234</v>
      </c>
      <c r="G22" s="33">
        <f t="shared" si="6"/>
        <v>14.43375673</v>
      </c>
      <c r="H22" s="34">
        <f t="shared" si="6"/>
        <v>1.752683371</v>
      </c>
      <c r="I22" s="34">
        <f t="shared" si="6"/>
        <v>1.019894276</v>
      </c>
      <c r="J22" s="34">
        <f t="shared" si="6"/>
        <v>2.203115143</v>
      </c>
      <c r="K22" s="35">
        <f t="shared" si="6"/>
        <v>0</v>
      </c>
      <c r="L22" s="35">
        <f t="shared" si="6"/>
        <v>0</v>
      </c>
      <c r="M22" s="35">
        <f t="shared" si="6"/>
        <v>0</v>
      </c>
      <c r="N22" s="34">
        <f t="shared" si="6"/>
        <v>4.082315519</v>
      </c>
      <c r="O22" s="34">
        <f t="shared" si="6"/>
        <v>2.789808835</v>
      </c>
      <c r="P22" s="34">
        <f t="shared" si="6"/>
        <v>4.178807645</v>
      </c>
      <c r="Q22" s="34">
        <f t="shared" si="6"/>
        <v>22.47539395</v>
      </c>
      <c r="R22" s="34">
        <f t="shared" si="6"/>
        <v>30.24307083</v>
      </c>
      <c r="S22" s="34">
        <f t="shared" si="6"/>
        <v>22.47539395</v>
      </c>
    </row>
    <row r="23">
      <c r="A23" s="36"/>
    </row>
    <row r="24">
      <c r="A24" s="18" t="s">
        <v>22</v>
      </c>
      <c r="B24" s="19"/>
      <c r="C24" s="19"/>
      <c r="D24" s="19"/>
      <c r="E24" s="20"/>
      <c r="F24" s="20"/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>
      <c r="A25" s="23" t="s">
        <v>23</v>
      </c>
      <c r="B25" s="24">
        <v>41.96</v>
      </c>
      <c r="C25" s="24">
        <v>21.06</v>
      </c>
      <c r="D25" s="24">
        <v>10.62</v>
      </c>
      <c r="E25" s="25">
        <v>33.3</v>
      </c>
      <c r="F25" s="25">
        <v>33.3</v>
      </c>
      <c r="G25" s="25">
        <v>50.0</v>
      </c>
      <c r="H25" s="26">
        <v>92.172</v>
      </c>
      <c r="I25" s="26">
        <v>88.996</v>
      </c>
      <c r="J25" s="26">
        <v>90.66</v>
      </c>
      <c r="K25" s="27">
        <v>46.5</v>
      </c>
      <c r="L25" s="27">
        <v>46.5</v>
      </c>
      <c r="M25" s="27">
        <v>46.5</v>
      </c>
      <c r="N25" s="30">
        <v>50.46</v>
      </c>
      <c r="O25" s="30">
        <v>76.14</v>
      </c>
      <c r="P25" s="30">
        <v>79.9</v>
      </c>
      <c r="Q25" s="29">
        <v>290.62</v>
      </c>
      <c r="R25" s="29">
        <v>292.331</v>
      </c>
      <c r="S25" s="29">
        <v>292.341</v>
      </c>
    </row>
    <row r="26">
      <c r="A26" s="23" t="s">
        <v>24</v>
      </c>
      <c r="B26" s="37">
        <v>42.12</v>
      </c>
      <c r="C26" s="37">
        <v>21.28</v>
      </c>
      <c r="D26" s="37">
        <v>10.85</v>
      </c>
      <c r="E26" s="38">
        <v>25.0</v>
      </c>
      <c r="F26" s="38">
        <v>33.3</v>
      </c>
      <c r="G26" s="38">
        <v>40.0</v>
      </c>
      <c r="H26" s="26">
        <v>90.051</v>
      </c>
      <c r="I26" s="26">
        <v>90.676</v>
      </c>
      <c r="J26" s="26">
        <v>90.082</v>
      </c>
      <c r="K26" s="27">
        <v>46.5</v>
      </c>
      <c r="L26" s="27">
        <v>46.5</v>
      </c>
      <c r="M26" s="27">
        <v>46.5</v>
      </c>
      <c r="N26" s="30">
        <v>120.94</v>
      </c>
      <c r="O26" s="30">
        <v>151.05</v>
      </c>
      <c r="P26" s="30">
        <v>154.75</v>
      </c>
      <c r="Q26" s="29">
        <v>292.38</v>
      </c>
      <c r="R26" s="29">
        <v>292.401</v>
      </c>
      <c r="S26" s="29">
        <v>292.411</v>
      </c>
    </row>
    <row r="27">
      <c r="A27" s="23" t="s">
        <v>25</v>
      </c>
      <c r="B27" s="37">
        <v>41.88</v>
      </c>
      <c r="C27" s="37">
        <v>21.06</v>
      </c>
      <c r="D27" s="37">
        <v>10.68</v>
      </c>
      <c r="E27" s="38">
        <v>33.3</v>
      </c>
      <c r="F27" s="38">
        <v>25.0</v>
      </c>
      <c r="G27" s="38">
        <v>40.0</v>
      </c>
      <c r="H27" s="26">
        <v>91.848</v>
      </c>
      <c r="I27" s="26">
        <v>88.586</v>
      </c>
      <c r="J27" s="26">
        <v>89.551</v>
      </c>
      <c r="K27" s="27">
        <v>46.5</v>
      </c>
      <c r="L27" s="27">
        <v>46.5</v>
      </c>
      <c r="M27" s="27">
        <v>46.5</v>
      </c>
      <c r="N27" s="30">
        <v>202.66</v>
      </c>
      <c r="O27" s="30">
        <v>225.63</v>
      </c>
      <c r="P27" s="30">
        <v>234.58</v>
      </c>
      <c r="Q27" s="29">
        <v>292.451</v>
      </c>
      <c r="R27" s="29">
        <v>292.471</v>
      </c>
      <c r="S27" s="29">
        <v>292.481</v>
      </c>
    </row>
    <row r="28">
      <c r="A28" s="31" t="s">
        <v>12</v>
      </c>
      <c r="B28" s="32">
        <f t="shared" ref="B28:S28" si="7">MEDIAN(B25:B27)</f>
        <v>41.96</v>
      </c>
      <c r="C28" s="32">
        <f t="shared" si="7"/>
        <v>21.06</v>
      </c>
      <c r="D28" s="32">
        <f t="shared" si="7"/>
        <v>10.68</v>
      </c>
      <c r="E28" s="32">
        <f t="shared" si="7"/>
        <v>33.3</v>
      </c>
      <c r="F28" s="32">
        <f t="shared" si="7"/>
        <v>33.3</v>
      </c>
      <c r="G28" s="32">
        <f t="shared" si="7"/>
        <v>40</v>
      </c>
      <c r="H28" s="32">
        <f t="shared" si="7"/>
        <v>91.848</v>
      </c>
      <c r="I28" s="32">
        <f t="shared" si="7"/>
        <v>88.996</v>
      </c>
      <c r="J28" s="32">
        <f t="shared" si="7"/>
        <v>90.082</v>
      </c>
      <c r="K28" s="32">
        <f t="shared" si="7"/>
        <v>46.5</v>
      </c>
      <c r="L28" s="32">
        <f t="shared" si="7"/>
        <v>46.5</v>
      </c>
      <c r="M28" s="32">
        <f t="shared" si="7"/>
        <v>46.5</v>
      </c>
      <c r="N28" s="32">
        <f t="shared" si="7"/>
        <v>120.94</v>
      </c>
      <c r="O28" s="32">
        <f t="shared" si="7"/>
        <v>151.05</v>
      </c>
      <c r="P28" s="32">
        <f t="shared" si="7"/>
        <v>154.75</v>
      </c>
      <c r="Q28" s="32">
        <f t="shared" si="7"/>
        <v>292.38</v>
      </c>
      <c r="R28" s="32">
        <f t="shared" si="7"/>
        <v>292.401</v>
      </c>
      <c r="S28" s="32">
        <f t="shared" si="7"/>
        <v>292.411</v>
      </c>
    </row>
    <row r="29">
      <c r="A29" s="31" t="s">
        <v>13</v>
      </c>
      <c r="B29" s="33">
        <f t="shared" ref="B29:S29" si="8">STDEV(B25:B27)</f>
        <v>0.1222020185</v>
      </c>
      <c r="C29" s="33">
        <f t="shared" si="8"/>
        <v>0.1270170592</v>
      </c>
      <c r="D29" s="33">
        <f t="shared" si="8"/>
        <v>0.1193035345</v>
      </c>
      <c r="E29" s="33">
        <f t="shared" si="8"/>
        <v>4.792007234</v>
      </c>
      <c r="F29" s="33">
        <f t="shared" si="8"/>
        <v>4.792007234</v>
      </c>
      <c r="G29" s="33">
        <f t="shared" si="8"/>
        <v>5.773502692</v>
      </c>
      <c r="H29" s="34">
        <f t="shared" si="8"/>
        <v>1.142572098</v>
      </c>
      <c r="I29" s="34">
        <f t="shared" si="8"/>
        <v>1.107444506</v>
      </c>
      <c r="J29" s="34">
        <f t="shared" si="8"/>
        <v>0.5546659655</v>
      </c>
      <c r="K29" s="35">
        <f t="shared" si="8"/>
        <v>0</v>
      </c>
      <c r="L29" s="35">
        <f t="shared" si="8"/>
        <v>0</v>
      </c>
      <c r="M29" s="35">
        <f t="shared" si="8"/>
        <v>0</v>
      </c>
      <c r="N29" s="34">
        <f t="shared" si="8"/>
        <v>76.16914161</v>
      </c>
      <c r="O29" s="34">
        <f t="shared" si="8"/>
        <v>74.74506071</v>
      </c>
      <c r="P29" s="34">
        <f t="shared" si="8"/>
        <v>77.35335998</v>
      </c>
      <c r="Q29" s="34">
        <f t="shared" si="8"/>
        <v>1.037240088</v>
      </c>
      <c r="R29" s="34">
        <f t="shared" si="8"/>
        <v>0.07</v>
      </c>
      <c r="S29" s="34">
        <f t="shared" si="8"/>
        <v>0.07</v>
      </c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Q30" s="36"/>
      <c r="R30" s="36"/>
      <c r="S30" s="36"/>
    </row>
    <row r="31">
      <c r="A31" s="36"/>
      <c r="B31" s="36"/>
      <c r="C31" s="39"/>
      <c r="D31" s="36"/>
      <c r="E31" s="36"/>
      <c r="F31" s="36"/>
      <c r="G31" s="17"/>
      <c r="H31" s="36"/>
      <c r="I31" s="36"/>
      <c r="J31" s="36"/>
      <c r="K31" s="17"/>
      <c r="L31" s="36"/>
      <c r="M31" s="36"/>
      <c r="Q31" s="36"/>
      <c r="R31" s="36"/>
      <c r="S31" s="36"/>
    </row>
    <row r="32">
      <c r="A32" s="36"/>
      <c r="B32" s="36"/>
      <c r="C32" s="39"/>
      <c r="D32" s="36"/>
      <c r="E32" s="36"/>
      <c r="F32" s="36"/>
      <c r="G32" s="36"/>
      <c r="H32" s="36"/>
      <c r="I32" s="36"/>
      <c r="J32" s="36"/>
      <c r="K32" s="36"/>
      <c r="L32" s="36"/>
      <c r="M32" s="36"/>
      <c r="Q32" s="36"/>
      <c r="R32" s="36"/>
      <c r="S32" s="36"/>
    </row>
    <row r="33">
      <c r="A33" s="36"/>
      <c r="B33" s="36"/>
      <c r="C33" s="39"/>
      <c r="D33" s="36"/>
      <c r="E33" s="36"/>
      <c r="F33" s="36"/>
      <c r="G33" s="36"/>
      <c r="H33" s="36"/>
      <c r="I33" s="36"/>
      <c r="J33" s="36"/>
      <c r="K33" s="36"/>
      <c r="L33" s="36"/>
      <c r="M33" s="36"/>
      <c r="Q33" s="36"/>
      <c r="R33" s="36"/>
      <c r="S33" s="36"/>
    </row>
    <row r="34">
      <c r="A34" s="36"/>
      <c r="B34" s="36"/>
      <c r="C34" s="39"/>
      <c r="D34" s="40"/>
      <c r="E34" s="36"/>
      <c r="F34" s="36"/>
      <c r="G34" s="36"/>
      <c r="H34" s="36"/>
      <c r="I34" s="36"/>
      <c r="J34" s="36"/>
      <c r="K34" s="36"/>
      <c r="L34" s="36"/>
      <c r="M34" s="36"/>
      <c r="Q34" s="36"/>
      <c r="R34" s="36"/>
      <c r="S34" s="36"/>
    </row>
    <row r="35">
      <c r="A35" s="36"/>
      <c r="B35" s="36"/>
      <c r="C35" s="39"/>
      <c r="D35" s="36"/>
      <c r="E35" s="36"/>
      <c r="F35" s="36"/>
      <c r="G35" s="36"/>
      <c r="H35" s="36"/>
      <c r="I35" s="36"/>
      <c r="J35" s="36"/>
      <c r="K35" s="36"/>
      <c r="L35" s="36"/>
      <c r="M35" s="36"/>
      <c r="Q35" s="36"/>
      <c r="R35" s="36"/>
      <c r="S35" s="36"/>
    </row>
    <row r="36">
      <c r="A36" s="36"/>
      <c r="B36" s="36"/>
      <c r="C36" s="40"/>
      <c r="D36" s="36"/>
      <c r="E36" s="36"/>
      <c r="F36" s="36"/>
      <c r="G36" s="36"/>
      <c r="H36" s="36"/>
      <c r="I36" s="36"/>
      <c r="J36" s="36"/>
      <c r="K36" s="36"/>
      <c r="L36" s="36"/>
      <c r="M36" s="36"/>
      <c r="Q36" s="36"/>
      <c r="R36" s="36"/>
      <c r="S36" s="36"/>
    </row>
    <row r="37">
      <c r="A37" s="36"/>
      <c r="B37" s="36"/>
      <c r="C37" s="40"/>
      <c r="D37" s="36"/>
      <c r="E37" s="36"/>
      <c r="F37" s="36"/>
      <c r="G37" s="36"/>
      <c r="H37" s="36"/>
      <c r="I37" s="36"/>
      <c r="J37" s="36"/>
      <c r="K37" s="36"/>
      <c r="L37" s="36"/>
      <c r="M37" s="36"/>
      <c r="Q37" s="36"/>
      <c r="R37" s="36"/>
      <c r="S37" s="36"/>
    </row>
    <row r="38">
      <c r="A38" s="36"/>
      <c r="B38" s="36"/>
      <c r="C38" s="40"/>
      <c r="D38" s="36"/>
      <c r="E38" s="36"/>
      <c r="F38" s="36"/>
      <c r="G38" s="36"/>
      <c r="H38" s="36"/>
      <c r="I38" s="36"/>
      <c r="J38" s="36"/>
      <c r="K38" s="36"/>
      <c r="L38" s="36"/>
      <c r="M38" s="36"/>
      <c r="Q38" s="36"/>
      <c r="R38" s="36"/>
      <c r="S38" s="36"/>
    </row>
    <row r="39">
      <c r="A39" s="36"/>
      <c r="B39" s="36"/>
      <c r="C39" s="40"/>
      <c r="D39" s="36"/>
      <c r="E39" s="36"/>
      <c r="F39" s="36"/>
      <c r="G39" s="36"/>
      <c r="H39" s="36"/>
      <c r="I39" s="36"/>
      <c r="J39" s="36"/>
      <c r="K39" s="36"/>
      <c r="L39" s="36"/>
      <c r="M39" s="36"/>
      <c r="Q39" s="36"/>
      <c r="R39" s="36"/>
      <c r="S39" s="36"/>
    </row>
    <row r="40">
      <c r="A40" s="36"/>
      <c r="B40" s="36"/>
      <c r="C40" s="40"/>
      <c r="D40" s="36"/>
      <c r="E40" s="36"/>
      <c r="F40" s="36"/>
      <c r="G40" s="36"/>
      <c r="H40" s="36"/>
      <c r="I40" s="36"/>
      <c r="J40" s="36"/>
      <c r="K40" s="36"/>
      <c r="L40" s="36"/>
      <c r="M40" s="36"/>
      <c r="Q40" s="36"/>
      <c r="R40" s="36"/>
      <c r="S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Q41" s="36"/>
      <c r="R41" s="36"/>
      <c r="S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Q42" s="36"/>
      <c r="R42" s="36"/>
      <c r="S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Q43" s="36"/>
      <c r="R43" s="36"/>
      <c r="S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Q44" s="36"/>
      <c r="R44" s="36"/>
      <c r="S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Q45" s="36"/>
      <c r="R45" s="36"/>
      <c r="S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Q46" s="36"/>
      <c r="R46" s="36"/>
      <c r="S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Q47" s="36"/>
      <c r="R47" s="36"/>
      <c r="S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Q48" s="36"/>
      <c r="R48" s="36"/>
      <c r="S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Q49" s="36"/>
      <c r="R49" s="36"/>
      <c r="S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Q50" s="36"/>
      <c r="R50" s="36"/>
      <c r="S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Q51" s="36"/>
      <c r="R51" s="36"/>
      <c r="S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Q52" s="36"/>
      <c r="R52" s="36"/>
      <c r="S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Q53" s="36"/>
      <c r="R53" s="36"/>
      <c r="S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Q54" s="36"/>
      <c r="R54" s="36"/>
      <c r="S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Q55" s="36"/>
      <c r="R55" s="36"/>
      <c r="S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Q56" s="36"/>
      <c r="R56" s="36"/>
      <c r="S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Q57" s="36"/>
      <c r="R57" s="36"/>
      <c r="S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Q58" s="36"/>
      <c r="R58" s="36"/>
      <c r="S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Q59" s="36"/>
      <c r="R59" s="36"/>
      <c r="S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Q60" s="36"/>
      <c r="R60" s="36"/>
      <c r="S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Q61" s="36"/>
      <c r="R61" s="36"/>
      <c r="S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Q62" s="36"/>
      <c r="R62" s="36"/>
      <c r="S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Q63" s="36"/>
      <c r="R63" s="36"/>
      <c r="S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Q64" s="36"/>
      <c r="R64" s="36"/>
      <c r="S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Q65" s="36"/>
      <c r="R65" s="36"/>
      <c r="S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Q66" s="36"/>
      <c r="R66" s="36"/>
      <c r="S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Q67" s="36"/>
      <c r="R67" s="36"/>
      <c r="S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Q68" s="36"/>
      <c r="R68" s="36"/>
      <c r="S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Q69" s="36"/>
      <c r="R69" s="36"/>
      <c r="S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Q70" s="36"/>
      <c r="R70" s="36"/>
      <c r="S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Q71" s="36"/>
      <c r="R71" s="36"/>
      <c r="S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Q72" s="36"/>
      <c r="R72" s="36"/>
      <c r="S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Q73" s="36"/>
      <c r="R73" s="36"/>
      <c r="S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Q74" s="36"/>
      <c r="R74" s="36"/>
      <c r="S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Q75" s="36"/>
      <c r="R75" s="36"/>
      <c r="S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Q76" s="36"/>
      <c r="R76" s="36"/>
      <c r="S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Q77" s="36"/>
      <c r="R77" s="36"/>
      <c r="S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Q78" s="36"/>
      <c r="R78" s="36"/>
      <c r="S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Q79" s="36"/>
      <c r="R79" s="36"/>
      <c r="S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Q80" s="36"/>
      <c r="R80" s="36"/>
      <c r="S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Q81" s="36"/>
      <c r="R81" s="36"/>
      <c r="S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Q82" s="36"/>
      <c r="R82" s="36"/>
      <c r="S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Q83" s="36"/>
      <c r="R83" s="36"/>
      <c r="S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Q84" s="36"/>
      <c r="R84" s="36"/>
      <c r="S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Q85" s="36"/>
      <c r="R85" s="36"/>
      <c r="S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Q86" s="36"/>
      <c r="R86" s="36"/>
      <c r="S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Q87" s="36"/>
      <c r="R87" s="36"/>
      <c r="S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Q88" s="36"/>
      <c r="R88" s="36"/>
      <c r="S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Q89" s="36"/>
      <c r="R89" s="36"/>
      <c r="S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Q90" s="36"/>
      <c r="R90" s="36"/>
      <c r="S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Q91" s="36"/>
      <c r="R91" s="36"/>
      <c r="S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Q92" s="36"/>
      <c r="R92" s="36"/>
      <c r="S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Q93" s="36"/>
      <c r="R93" s="36"/>
      <c r="S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Q94" s="36"/>
      <c r="R94" s="36"/>
      <c r="S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Q95" s="36"/>
      <c r="R95" s="36"/>
      <c r="S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Q96" s="36"/>
      <c r="R96" s="36"/>
      <c r="S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Q97" s="36"/>
      <c r="R97" s="36"/>
      <c r="S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Q98" s="36"/>
      <c r="R98" s="36"/>
      <c r="S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Q99" s="36"/>
      <c r="R99" s="36"/>
      <c r="S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Q100" s="36"/>
      <c r="R100" s="36"/>
      <c r="S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Q101" s="36"/>
      <c r="R101" s="36"/>
      <c r="S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Q102" s="36"/>
      <c r="R102" s="36"/>
      <c r="S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Q103" s="36"/>
      <c r="R103" s="36"/>
      <c r="S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Q104" s="36"/>
      <c r="R104" s="36"/>
      <c r="S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Q105" s="36"/>
      <c r="R105" s="36"/>
      <c r="S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Q106" s="36"/>
      <c r="R106" s="36"/>
      <c r="S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Q107" s="36"/>
      <c r="R107" s="36"/>
      <c r="S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Q108" s="36"/>
      <c r="R108" s="36"/>
      <c r="S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Q109" s="36"/>
      <c r="R109" s="36"/>
      <c r="S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Q110" s="36"/>
      <c r="R110" s="36"/>
      <c r="S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Q111" s="36"/>
      <c r="R111" s="36"/>
      <c r="S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Q112" s="36"/>
      <c r="R112" s="36"/>
      <c r="S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Q113" s="36"/>
      <c r="R113" s="36"/>
      <c r="S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Q114" s="36"/>
      <c r="R114" s="36"/>
      <c r="S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Q115" s="36"/>
      <c r="R115" s="36"/>
      <c r="S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Q116" s="36"/>
      <c r="R116" s="36"/>
      <c r="S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Q117" s="36"/>
      <c r="R117" s="36"/>
      <c r="S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Q118" s="36"/>
      <c r="R118" s="36"/>
      <c r="S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Q119" s="36"/>
      <c r="R119" s="36"/>
      <c r="S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Q120" s="36"/>
      <c r="R120" s="36"/>
      <c r="S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Q121" s="36"/>
      <c r="R121" s="36"/>
      <c r="S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Q122" s="36"/>
      <c r="R122" s="36"/>
      <c r="S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Q123" s="36"/>
      <c r="R123" s="36"/>
      <c r="S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Q124" s="36"/>
      <c r="R124" s="36"/>
      <c r="S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Q125" s="36"/>
      <c r="R125" s="36"/>
      <c r="S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Q126" s="36"/>
      <c r="R126" s="36"/>
      <c r="S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Q127" s="36"/>
      <c r="R127" s="36"/>
      <c r="S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Q128" s="36"/>
      <c r="R128" s="36"/>
      <c r="S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Q129" s="36"/>
      <c r="R129" s="36"/>
      <c r="S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Q130" s="36"/>
      <c r="R130" s="36"/>
      <c r="S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Q131" s="36"/>
      <c r="R131" s="36"/>
      <c r="S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Q132" s="36"/>
      <c r="R132" s="36"/>
      <c r="S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Q133" s="36"/>
      <c r="R133" s="36"/>
      <c r="S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Q134" s="36"/>
      <c r="R134" s="36"/>
      <c r="S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Q135" s="36"/>
      <c r="R135" s="36"/>
      <c r="S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Q136" s="36"/>
      <c r="R136" s="36"/>
      <c r="S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Q137" s="36"/>
      <c r="R137" s="36"/>
      <c r="S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Q138" s="36"/>
      <c r="R138" s="36"/>
      <c r="S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Q139" s="36"/>
      <c r="R139" s="36"/>
      <c r="S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Q140" s="36"/>
      <c r="R140" s="36"/>
      <c r="S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Q141" s="36"/>
      <c r="R141" s="36"/>
      <c r="S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Q142" s="36"/>
      <c r="R142" s="36"/>
      <c r="S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Q143" s="36"/>
      <c r="R143" s="36"/>
      <c r="S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Q144" s="36"/>
      <c r="R144" s="36"/>
      <c r="S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Q145" s="36"/>
      <c r="R145" s="36"/>
      <c r="S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Q146" s="36"/>
      <c r="R146" s="36"/>
      <c r="S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Q147" s="36"/>
      <c r="R147" s="36"/>
      <c r="S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Q148" s="36"/>
      <c r="R148" s="36"/>
      <c r="S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Q149" s="36"/>
      <c r="R149" s="36"/>
      <c r="S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Q150" s="36"/>
      <c r="R150" s="36"/>
      <c r="S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Q151" s="36"/>
      <c r="R151" s="36"/>
      <c r="S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Q152" s="36"/>
      <c r="R152" s="36"/>
      <c r="S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Q153" s="36"/>
      <c r="R153" s="36"/>
      <c r="S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Q154" s="36"/>
      <c r="R154" s="36"/>
      <c r="S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Q155" s="36"/>
      <c r="R155" s="36"/>
      <c r="S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Q156" s="36"/>
      <c r="R156" s="36"/>
      <c r="S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Q157" s="36"/>
      <c r="R157" s="36"/>
      <c r="S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Q158" s="36"/>
      <c r="R158" s="36"/>
      <c r="S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Q159" s="36"/>
      <c r="R159" s="36"/>
      <c r="S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Q160" s="36"/>
      <c r="R160" s="36"/>
      <c r="S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Q161" s="36"/>
      <c r="R161" s="36"/>
      <c r="S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Q162" s="36"/>
      <c r="R162" s="36"/>
      <c r="S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Q163" s="36"/>
      <c r="R163" s="36"/>
      <c r="S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Q164" s="36"/>
      <c r="R164" s="36"/>
      <c r="S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Q165" s="36"/>
      <c r="R165" s="36"/>
      <c r="S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Q166" s="36"/>
      <c r="R166" s="36"/>
      <c r="S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Q167" s="36"/>
      <c r="R167" s="36"/>
      <c r="S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Q168" s="36"/>
      <c r="R168" s="36"/>
      <c r="S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Q169" s="36"/>
      <c r="R169" s="36"/>
      <c r="S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Q170" s="36"/>
      <c r="R170" s="36"/>
      <c r="S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Q171" s="36"/>
      <c r="R171" s="36"/>
      <c r="S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Q172" s="36"/>
      <c r="R172" s="36"/>
      <c r="S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Q173" s="36"/>
      <c r="R173" s="36"/>
      <c r="S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Q174" s="36"/>
      <c r="R174" s="36"/>
      <c r="S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Q175" s="36"/>
      <c r="R175" s="36"/>
      <c r="S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Q176" s="36"/>
      <c r="R176" s="36"/>
      <c r="S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Q177" s="36"/>
      <c r="R177" s="36"/>
      <c r="S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Q178" s="36"/>
      <c r="R178" s="36"/>
      <c r="S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Q179" s="36"/>
      <c r="R179" s="36"/>
      <c r="S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Q180" s="36"/>
      <c r="R180" s="36"/>
      <c r="S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Q181" s="36"/>
      <c r="R181" s="36"/>
      <c r="S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Q182" s="36"/>
      <c r="R182" s="36"/>
      <c r="S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Q183" s="36"/>
      <c r="R183" s="36"/>
      <c r="S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Q184" s="36"/>
      <c r="R184" s="36"/>
      <c r="S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Q185" s="36"/>
      <c r="R185" s="36"/>
      <c r="S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Q186" s="36"/>
      <c r="R186" s="36"/>
      <c r="S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Q187" s="36"/>
      <c r="R187" s="36"/>
      <c r="S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Q188" s="36"/>
      <c r="R188" s="36"/>
      <c r="S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Q189" s="36"/>
      <c r="R189" s="36"/>
      <c r="S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Q190" s="36"/>
      <c r="R190" s="36"/>
      <c r="S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Q191" s="36"/>
      <c r="R191" s="36"/>
      <c r="S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Q192" s="36"/>
      <c r="R192" s="36"/>
      <c r="S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Q193" s="36"/>
      <c r="R193" s="36"/>
      <c r="S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Q194" s="36"/>
      <c r="R194" s="36"/>
      <c r="S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Q195" s="36"/>
      <c r="R195" s="36"/>
      <c r="S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Q196" s="36"/>
      <c r="R196" s="36"/>
      <c r="S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Q197" s="36"/>
      <c r="R197" s="36"/>
      <c r="S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Q198" s="36"/>
      <c r="R198" s="36"/>
      <c r="S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Q199" s="36"/>
      <c r="R199" s="36"/>
      <c r="S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Q200" s="36"/>
      <c r="R200" s="36"/>
      <c r="S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Q201" s="36"/>
      <c r="R201" s="36"/>
      <c r="S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Q202" s="36"/>
      <c r="R202" s="36"/>
      <c r="S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Q203" s="36"/>
      <c r="R203" s="36"/>
      <c r="S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Q204" s="36"/>
      <c r="R204" s="36"/>
      <c r="S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Q205" s="36"/>
      <c r="R205" s="36"/>
      <c r="S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Q206" s="36"/>
      <c r="R206" s="36"/>
      <c r="S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Q207" s="36"/>
      <c r="R207" s="36"/>
      <c r="S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Q208" s="36"/>
      <c r="R208" s="36"/>
      <c r="S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Q209" s="36"/>
      <c r="R209" s="36"/>
      <c r="S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Q210" s="36"/>
      <c r="R210" s="36"/>
      <c r="S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Q211" s="36"/>
      <c r="R211" s="36"/>
      <c r="S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Q212" s="36"/>
      <c r="R212" s="36"/>
      <c r="S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Q213" s="36"/>
      <c r="R213" s="36"/>
      <c r="S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Q214" s="36"/>
      <c r="R214" s="36"/>
      <c r="S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Q215" s="36"/>
      <c r="R215" s="36"/>
      <c r="S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Q216" s="36"/>
      <c r="R216" s="36"/>
      <c r="S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Q217" s="36"/>
      <c r="R217" s="36"/>
      <c r="S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Q218" s="36"/>
      <c r="R218" s="36"/>
      <c r="S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Q219" s="36"/>
      <c r="R219" s="36"/>
      <c r="S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Q220" s="36"/>
      <c r="R220" s="36"/>
      <c r="S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Q221" s="36"/>
      <c r="R221" s="36"/>
      <c r="S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Q222" s="36"/>
      <c r="R222" s="36"/>
      <c r="S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Q223" s="36"/>
      <c r="R223" s="36"/>
      <c r="S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Q224" s="36"/>
      <c r="R224" s="36"/>
      <c r="S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Q225" s="36"/>
      <c r="R225" s="36"/>
      <c r="S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Q226" s="36"/>
      <c r="R226" s="36"/>
      <c r="S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Q227" s="36"/>
      <c r="R227" s="36"/>
      <c r="S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Q228" s="36"/>
      <c r="R228" s="36"/>
      <c r="S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Q229" s="36"/>
      <c r="R229" s="36"/>
      <c r="S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Q230" s="36"/>
      <c r="R230" s="36"/>
      <c r="S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Q231" s="36"/>
      <c r="R231" s="36"/>
      <c r="S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Q232" s="36"/>
      <c r="R232" s="36"/>
      <c r="S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Q233" s="36"/>
      <c r="R233" s="36"/>
      <c r="S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Q234" s="36"/>
      <c r="R234" s="36"/>
      <c r="S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Q235" s="36"/>
      <c r="R235" s="36"/>
      <c r="S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Q236" s="36"/>
      <c r="R236" s="36"/>
      <c r="S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Q237" s="36"/>
      <c r="R237" s="36"/>
      <c r="S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Q238" s="36"/>
      <c r="R238" s="36"/>
      <c r="S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Q239" s="36"/>
      <c r="R239" s="36"/>
      <c r="S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Q240" s="36"/>
      <c r="R240" s="36"/>
      <c r="S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Q241" s="36"/>
      <c r="R241" s="36"/>
      <c r="S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Q242" s="36"/>
      <c r="R242" s="36"/>
      <c r="S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Q243" s="36"/>
      <c r="R243" s="36"/>
      <c r="S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Q244" s="36"/>
      <c r="R244" s="36"/>
      <c r="S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Q245" s="36"/>
      <c r="R245" s="36"/>
      <c r="S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Q246" s="36"/>
      <c r="R246" s="36"/>
      <c r="S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Q247" s="36"/>
      <c r="R247" s="36"/>
      <c r="S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Q248" s="36"/>
      <c r="R248" s="36"/>
      <c r="S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Q249" s="36"/>
      <c r="R249" s="36"/>
      <c r="S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Q250" s="36"/>
      <c r="R250" s="36"/>
      <c r="S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Q251" s="36"/>
      <c r="R251" s="36"/>
      <c r="S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Q252" s="36"/>
      <c r="R252" s="36"/>
      <c r="S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Q253" s="36"/>
      <c r="R253" s="36"/>
      <c r="S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Q254" s="36"/>
      <c r="R254" s="36"/>
      <c r="S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Q255" s="36"/>
      <c r="R255" s="36"/>
      <c r="S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Q256" s="36"/>
      <c r="R256" s="36"/>
      <c r="S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Q257" s="36"/>
      <c r="R257" s="36"/>
      <c r="S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Q258" s="36"/>
      <c r="R258" s="36"/>
      <c r="S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Q259" s="36"/>
      <c r="R259" s="36"/>
      <c r="S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Q260" s="36"/>
      <c r="R260" s="36"/>
      <c r="S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Q261" s="36"/>
      <c r="R261" s="36"/>
      <c r="S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Q262" s="36"/>
      <c r="R262" s="36"/>
      <c r="S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Q263" s="36"/>
      <c r="R263" s="36"/>
      <c r="S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Q264" s="36"/>
      <c r="R264" s="36"/>
      <c r="S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Q265" s="36"/>
      <c r="R265" s="36"/>
      <c r="S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Q266" s="36"/>
      <c r="R266" s="36"/>
      <c r="S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Q267" s="36"/>
      <c r="R267" s="36"/>
      <c r="S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Q268" s="36"/>
      <c r="R268" s="36"/>
      <c r="S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Q269" s="36"/>
      <c r="R269" s="36"/>
      <c r="S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Q270" s="36"/>
      <c r="R270" s="36"/>
      <c r="S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Q271" s="36"/>
      <c r="R271" s="36"/>
      <c r="S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Q272" s="36"/>
      <c r="R272" s="36"/>
      <c r="S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Q273" s="36"/>
      <c r="R273" s="36"/>
      <c r="S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Q274" s="36"/>
      <c r="R274" s="36"/>
      <c r="S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Q275" s="36"/>
      <c r="R275" s="36"/>
      <c r="S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Q276" s="36"/>
      <c r="R276" s="36"/>
      <c r="S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Q277" s="36"/>
      <c r="R277" s="36"/>
      <c r="S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Q278" s="36"/>
      <c r="R278" s="36"/>
      <c r="S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Q279" s="36"/>
      <c r="R279" s="36"/>
      <c r="S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Q280" s="36"/>
      <c r="R280" s="36"/>
      <c r="S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Q281" s="36"/>
      <c r="R281" s="36"/>
      <c r="S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Q282" s="36"/>
      <c r="R282" s="36"/>
      <c r="S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Q283" s="36"/>
      <c r="R283" s="36"/>
      <c r="S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Q284" s="36"/>
      <c r="R284" s="36"/>
      <c r="S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Q285" s="36"/>
      <c r="R285" s="36"/>
      <c r="S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Q286" s="36"/>
      <c r="R286" s="36"/>
      <c r="S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Q287" s="36"/>
      <c r="R287" s="36"/>
      <c r="S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Q288" s="36"/>
      <c r="R288" s="36"/>
      <c r="S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Q289" s="36"/>
      <c r="R289" s="36"/>
      <c r="S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Q290" s="36"/>
      <c r="R290" s="36"/>
      <c r="S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Q291" s="36"/>
      <c r="R291" s="36"/>
      <c r="S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Q292" s="36"/>
      <c r="R292" s="36"/>
      <c r="S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Q293" s="36"/>
      <c r="R293" s="36"/>
      <c r="S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Q294" s="36"/>
      <c r="R294" s="36"/>
      <c r="S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Q295" s="36"/>
      <c r="R295" s="36"/>
      <c r="S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Q296" s="36"/>
      <c r="R296" s="36"/>
      <c r="S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Q297" s="36"/>
      <c r="R297" s="36"/>
      <c r="S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Q298" s="36"/>
      <c r="R298" s="36"/>
      <c r="S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Q299" s="36"/>
      <c r="R299" s="36"/>
      <c r="S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Q300" s="36"/>
      <c r="R300" s="36"/>
      <c r="S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Q301" s="36"/>
      <c r="R301" s="36"/>
      <c r="S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Q302" s="36"/>
      <c r="R302" s="36"/>
      <c r="S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Q303" s="36"/>
      <c r="R303" s="36"/>
      <c r="S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Q304" s="36"/>
      <c r="R304" s="36"/>
      <c r="S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Q305" s="36"/>
      <c r="R305" s="36"/>
      <c r="S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Q306" s="36"/>
      <c r="R306" s="36"/>
      <c r="S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Q307" s="36"/>
      <c r="R307" s="36"/>
      <c r="S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Q308" s="36"/>
      <c r="R308" s="36"/>
      <c r="S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Q309" s="36"/>
      <c r="R309" s="36"/>
      <c r="S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Q310" s="36"/>
      <c r="R310" s="36"/>
      <c r="S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Q311" s="36"/>
      <c r="R311" s="36"/>
      <c r="S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Q312" s="36"/>
      <c r="R312" s="36"/>
      <c r="S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Q313" s="36"/>
      <c r="R313" s="36"/>
      <c r="S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Q314" s="36"/>
      <c r="R314" s="36"/>
      <c r="S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Q315" s="36"/>
      <c r="R315" s="36"/>
      <c r="S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Q316" s="36"/>
      <c r="R316" s="36"/>
      <c r="S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Q317" s="36"/>
      <c r="R317" s="36"/>
      <c r="S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Q318" s="36"/>
      <c r="R318" s="36"/>
      <c r="S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Q319" s="36"/>
      <c r="R319" s="36"/>
      <c r="S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Q320" s="36"/>
      <c r="R320" s="36"/>
      <c r="S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Q321" s="36"/>
      <c r="R321" s="36"/>
      <c r="S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Q322" s="36"/>
      <c r="R322" s="36"/>
      <c r="S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Q323" s="36"/>
      <c r="R323" s="36"/>
      <c r="S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Q324" s="36"/>
      <c r="R324" s="36"/>
      <c r="S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Q325" s="36"/>
      <c r="R325" s="36"/>
      <c r="S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Q326" s="36"/>
      <c r="R326" s="36"/>
      <c r="S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Q327" s="36"/>
      <c r="R327" s="36"/>
      <c r="S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Q328" s="36"/>
      <c r="R328" s="36"/>
      <c r="S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Q329" s="36"/>
      <c r="R329" s="36"/>
      <c r="S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Q330" s="36"/>
      <c r="R330" s="36"/>
      <c r="S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Q331" s="36"/>
      <c r="R331" s="36"/>
      <c r="S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Q332" s="36"/>
      <c r="R332" s="36"/>
      <c r="S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Q333" s="36"/>
      <c r="R333" s="36"/>
      <c r="S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Q334" s="36"/>
      <c r="R334" s="36"/>
      <c r="S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Q335" s="36"/>
      <c r="R335" s="36"/>
      <c r="S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Q336" s="36"/>
      <c r="R336" s="36"/>
      <c r="S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Q337" s="36"/>
      <c r="R337" s="36"/>
      <c r="S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Q338" s="36"/>
      <c r="R338" s="36"/>
      <c r="S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Q339" s="36"/>
      <c r="R339" s="36"/>
      <c r="S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Q340" s="36"/>
      <c r="R340" s="36"/>
      <c r="S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Q341" s="36"/>
      <c r="R341" s="36"/>
      <c r="S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Q342" s="36"/>
      <c r="R342" s="36"/>
      <c r="S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Q343" s="36"/>
      <c r="R343" s="36"/>
      <c r="S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Q344" s="36"/>
      <c r="R344" s="36"/>
      <c r="S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Q345" s="36"/>
      <c r="R345" s="36"/>
      <c r="S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Q346" s="36"/>
      <c r="R346" s="36"/>
      <c r="S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Q347" s="36"/>
      <c r="R347" s="36"/>
      <c r="S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Q348" s="36"/>
      <c r="R348" s="36"/>
      <c r="S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Q349" s="36"/>
      <c r="R349" s="36"/>
      <c r="S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Q350" s="36"/>
      <c r="R350" s="36"/>
      <c r="S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Q351" s="36"/>
      <c r="R351" s="36"/>
      <c r="S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Q352" s="36"/>
      <c r="R352" s="36"/>
      <c r="S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Q353" s="36"/>
      <c r="R353" s="36"/>
      <c r="S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Q354" s="36"/>
      <c r="R354" s="36"/>
      <c r="S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Q355" s="36"/>
      <c r="R355" s="36"/>
      <c r="S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Q356" s="36"/>
      <c r="R356" s="36"/>
      <c r="S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Q357" s="36"/>
      <c r="R357" s="36"/>
      <c r="S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Q358" s="36"/>
      <c r="R358" s="36"/>
      <c r="S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Q359" s="36"/>
      <c r="R359" s="36"/>
      <c r="S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Q360" s="36"/>
      <c r="R360" s="36"/>
      <c r="S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Q361" s="36"/>
      <c r="R361" s="36"/>
      <c r="S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Q362" s="36"/>
      <c r="R362" s="36"/>
      <c r="S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Q363" s="36"/>
      <c r="R363" s="36"/>
      <c r="S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Q364" s="36"/>
      <c r="R364" s="36"/>
      <c r="S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Q365" s="36"/>
      <c r="R365" s="36"/>
      <c r="S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Q366" s="36"/>
      <c r="R366" s="36"/>
      <c r="S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Q367" s="36"/>
      <c r="R367" s="36"/>
      <c r="S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Q368" s="36"/>
      <c r="R368" s="36"/>
      <c r="S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Q369" s="36"/>
      <c r="R369" s="36"/>
      <c r="S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Q370" s="36"/>
      <c r="R370" s="36"/>
      <c r="S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Q371" s="36"/>
      <c r="R371" s="36"/>
      <c r="S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Q372" s="36"/>
      <c r="R372" s="36"/>
      <c r="S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Q373" s="36"/>
      <c r="R373" s="36"/>
      <c r="S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Q374" s="36"/>
      <c r="R374" s="36"/>
      <c r="S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Q375" s="36"/>
      <c r="R375" s="36"/>
      <c r="S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Q376" s="36"/>
      <c r="R376" s="36"/>
      <c r="S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Q377" s="36"/>
      <c r="R377" s="36"/>
      <c r="S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Q378" s="36"/>
      <c r="R378" s="36"/>
      <c r="S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Q379" s="36"/>
      <c r="R379" s="36"/>
      <c r="S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Q380" s="36"/>
      <c r="R380" s="36"/>
      <c r="S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Q381" s="36"/>
      <c r="R381" s="36"/>
      <c r="S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Q382" s="36"/>
      <c r="R382" s="36"/>
      <c r="S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Q383" s="36"/>
      <c r="R383" s="36"/>
      <c r="S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Q384" s="36"/>
      <c r="R384" s="36"/>
      <c r="S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Q385" s="36"/>
      <c r="R385" s="36"/>
      <c r="S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Q386" s="36"/>
      <c r="R386" s="36"/>
      <c r="S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Q387" s="36"/>
      <c r="R387" s="36"/>
      <c r="S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Q388" s="36"/>
      <c r="R388" s="36"/>
      <c r="S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Q389" s="36"/>
      <c r="R389" s="36"/>
      <c r="S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Q390" s="36"/>
      <c r="R390" s="36"/>
      <c r="S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Q391" s="36"/>
      <c r="R391" s="36"/>
      <c r="S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Q392" s="36"/>
      <c r="R392" s="36"/>
      <c r="S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Q393" s="36"/>
      <c r="R393" s="36"/>
      <c r="S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Q394" s="36"/>
      <c r="R394" s="36"/>
      <c r="S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Q395" s="36"/>
      <c r="R395" s="36"/>
      <c r="S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Q396" s="36"/>
      <c r="R396" s="36"/>
      <c r="S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Q397" s="36"/>
      <c r="R397" s="36"/>
      <c r="S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Q398" s="36"/>
      <c r="R398" s="36"/>
      <c r="S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Q399" s="36"/>
      <c r="R399" s="36"/>
      <c r="S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Q400" s="36"/>
      <c r="R400" s="36"/>
      <c r="S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Q401" s="36"/>
      <c r="R401" s="36"/>
      <c r="S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Q402" s="36"/>
      <c r="R402" s="36"/>
      <c r="S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Q403" s="36"/>
      <c r="R403" s="36"/>
      <c r="S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Q404" s="36"/>
      <c r="R404" s="36"/>
      <c r="S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Q405" s="36"/>
      <c r="R405" s="36"/>
      <c r="S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Q406" s="36"/>
      <c r="R406" s="36"/>
      <c r="S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Q407" s="36"/>
      <c r="R407" s="36"/>
      <c r="S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Q408" s="36"/>
      <c r="R408" s="36"/>
      <c r="S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Q409" s="36"/>
      <c r="R409" s="36"/>
      <c r="S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Q410" s="36"/>
      <c r="R410" s="36"/>
      <c r="S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Q411" s="36"/>
      <c r="R411" s="36"/>
      <c r="S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Q412" s="36"/>
      <c r="R412" s="36"/>
      <c r="S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Q413" s="36"/>
      <c r="R413" s="36"/>
      <c r="S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Q414" s="36"/>
      <c r="R414" s="36"/>
      <c r="S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Q415" s="36"/>
      <c r="R415" s="36"/>
      <c r="S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Q416" s="36"/>
      <c r="R416" s="36"/>
      <c r="S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Q417" s="36"/>
      <c r="R417" s="36"/>
      <c r="S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Q418" s="36"/>
      <c r="R418" s="36"/>
      <c r="S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Q419" s="36"/>
      <c r="R419" s="36"/>
      <c r="S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Q420" s="36"/>
      <c r="R420" s="36"/>
      <c r="S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Q421" s="36"/>
      <c r="R421" s="36"/>
      <c r="S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Q422" s="36"/>
      <c r="R422" s="36"/>
      <c r="S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Q423" s="36"/>
      <c r="R423" s="36"/>
      <c r="S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Q424" s="36"/>
      <c r="R424" s="36"/>
      <c r="S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Q425" s="36"/>
      <c r="R425" s="36"/>
      <c r="S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Q426" s="36"/>
      <c r="R426" s="36"/>
      <c r="S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Q427" s="36"/>
      <c r="R427" s="36"/>
      <c r="S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Q428" s="36"/>
      <c r="R428" s="36"/>
      <c r="S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Q429" s="36"/>
      <c r="R429" s="36"/>
      <c r="S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Q430" s="36"/>
      <c r="R430" s="36"/>
      <c r="S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Q431" s="36"/>
      <c r="R431" s="36"/>
      <c r="S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Q432" s="36"/>
      <c r="R432" s="36"/>
      <c r="S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Q433" s="36"/>
      <c r="R433" s="36"/>
      <c r="S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Q434" s="36"/>
      <c r="R434" s="36"/>
      <c r="S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Q435" s="36"/>
      <c r="R435" s="36"/>
      <c r="S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Q436" s="36"/>
      <c r="R436" s="36"/>
      <c r="S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Q437" s="36"/>
      <c r="R437" s="36"/>
      <c r="S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Q438" s="36"/>
      <c r="R438" s="36"/>
      <c r="S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Q439" s="36"/>
      <c r="R439" s="36"/>
      <c r="S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Q440" s="36"/>
      <c r="R440" s="36"/>
      <c r="S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Q441" s="36"/>
      <c r="R441" s="36"/>
      <c r="S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Q442" s="36"/>
      <c r="R442" s="36"/>
      <c r="S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Q443" s="36"/>
      <c r="R443" s="36"/>
      <c r="S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Q444" s="36"/>
      <c r="R444" s="36"/>
      <c r="S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Q445" s="36"/>
      <c r="R445" s="36"/>
      <c r="S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Q446" s="36"/>
      <c r="R446" s="36"/>
      <c r="S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Q447" s="36"/>
      <c r="R447" s="36"/>
      <c r="S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Q448" s="36"/>
      <c r="R448" s="36"/>
      <c r="S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Q449" s="36"/>
      <c r="R449" s="36"/>
      <c r="S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Q450" s="36"/>
      <c r="R450" s="36"/>
      <c r="S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Q451" s="36"/>
      <c r="R451" s="36"/>
      <c r="S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Q452" s="36"/>
      <c r="R452" s="36"/>
      <c r="S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Q453" s="36"/>
      <c r="R453" s="36"/>
      <c r="S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Q454" s="36"/>
      <c r="R454" s="36"/>
      <c r="S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Q455" s="36"/>
      <c r="R455" s="36"/>
      <c r="S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Q456" s="36"/>
      <c r="R456" s="36"/>
      <c r="S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Q457" s="36"/>
      <c r="R457" s="36"/>
      <c r="S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Q458" s="36"/>
      <c r="R458" s="36"/>
      <c r="S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Q459" s="36"/>
      <c r="R459" s="36"/>
      <c r="S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Q460" s="36"/>
      <c r="R460" s="36"/>
      <c r="S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Q461" s="36"/>
      <c r="R461" s="36"/>
      <c r="S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Q462" s="36"/>
      <c r="R462" s="36"/>
      <c r="S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Q463" s="36"/>
      <c r="R463" s="36"/>
      <c r="S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Q464" s="36"/>
      <c r="R464" s="36"/>
      <c r="S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Q465" s="36"/>
      <c r="R465" s="36"/>
      <c r="S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Q466" s="36"/>
      <c r="R466" s="36"/>
      <c r="S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Q467" s="36"/>
      <c r="R467" s="36"/>
      <c r="S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Q468" s="36"/>
      <c r="R468" s="36"/>
      <c r="S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Q469" s="36"/>
      <c r="R469" s="36"/>
      <c r="S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Q470" s="36"/>
      <c r="R470" s="36"/>
      <c r="S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Q471" s="36"/>
      <c r="R471" s="36"/>
      <c r="S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Q472" s="36"/>
      <c r="R472" s="36"/>
      <c r="S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Q473" s="36"/>
      <c r="R473" s="36"/>
      <c r="S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Q474" s="36"/>
      <c r="R474" s="36"/>
      <c r="S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Q475" s="36"/>
      <c r="R475" s="36"/>
      <c r="S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Q476" s="36"/>
      <c r="R476" s="36"/>
      <c r="S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Q477" s="36"/>
      <c r="R477" s="36"/>
      <c r="S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Q478" s="36"/>
      <c r="R478" s="36"/>
      <c r="S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Q479" s="36"/>
      <c r="R479" s="36"/>
      <c r="S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Q480" s="36"/>
      <c r="R480" s="36"/>
      <c r="S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Q481" s="36"/>
      <c r="R481" s="36"/>
      <c r="S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Q482" s="36"/>
      <c r="R482" s="36"/>
      <c r="S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Q483" s="36"/>
      <c r="R483" s="36"/>
      <c r="S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Q484" s="36"/>
      <c r="R484" s="36"/>
      <c r="S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Q485" s="36"/>
      <c r="R485" s="36"/>
      <c r="S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Q486" s="36"/>
      <c r="R486" s="36"/>
      <c r="S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Q487" s="36"/>
      <c r="R487" s="36"/>
      <c r="S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Q488" s="36"/>
      <c r="R488" s="36"/>
      <c r="S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Q489" s="36"/>
      <c r="R489" s="36"/>
      <c r="S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Q490" s="36"/>
      <c r="R490" s="36"/>
      <c r="S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Q491" s="36"/>
      <c r="R491" s="36"/>
      <c r="S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Q492" s="36"/>
      <c r="R492" s="36"/>
      <c r="S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Q493" s="36"/>
      <c r="R493" s="36"/>
      <c r="S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Q494" s="36"/>
      <c r="R494" s="36"/>
      <c r="S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Q495" s="36"/>
      <c r="R495" s="36"/>
      <c r="S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Q496" s="36"/>
      <c r="R496" s="36"/>
      <c r="S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Q497" s="36"/>
      <c r="R497" s="36"/>
      <c r="S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Q498" s="36"/>
      <c r="R498" s="36"/>
      <c r="S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Q499" s="36"/>
      <c r="R499" s="36"/>
      <c r="S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Q500" s="36"/>
      <c r="R500" s="36"/>
      <c r="S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Q501" s="36"/>
      <c r="R501" s="36"/>
      <c r="S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Q502" s="36"/>
      <c r="R502" s="36"/>
      <c r="S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Q503" s="36"/>
      <c r="R503" s="36"/>
      <c r="S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Q504" s="36"/>
      <c r="R504" s="36"/>
      <c r="S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Q505" s="36"/>
      <c r="R505" s="36"/>
      <c r="S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Q506" s="36"/>
      <c r="R506" s="36"/>
      <c r="S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Q507" s="36"/>
      <c r="R507" s="36"/>
      <c r="S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Q508" s="36"/>
      <c r="R508" s="36"/>
      <c r="S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Q509" s="36"/>
      <c r="R509" s="36"/>
      <c r="S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Q510" s="36"/>
      <c r="R510" s="36"/>
      <c r="S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Q511" s="36"/>
      <c r="R511" s="36"/>
      <c r="S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Q512" s="36"/>
      <c r="R512" s="36"/>
      <c r="S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Q513" s="36"/>
      <c r="R513" s="36"/>
      <c r="S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Q514" s="36"/>
      <c r="R514" s="36"/>
      <c r="S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Q515" s="36"/>
      <c r="R515" s="36"/>
      <c r="S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Q516" s="36"/>
      <c r="R516" s="36"/>
      <c r="S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Q517" s="36"/>
      <c r="R517" s="36"/>
      <c r="S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Q518" s="36"/>
      <c r="R518" s="36"/>
      <c r="S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Q519" s="36"/>
      <c r="R519" s="36"/>
      <c r="S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Q520" s="36"/>
      <c r="R520" s="36"/>
      <c r="S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Q521" s="36"/>
      <c r="R521" s="36"/>
      <c r="S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Q522" s="36"/>
      <c r="R522" s="36"/>
      <c r="S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Q523" s="36"/>
      <c r="R523" s="36"/>
      <c r="S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Q524" s="36"/>
      <c r="R524" s="36"/>
      <c r="S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Q525" s="36"/>
      <c r="R525" s="36"/>
      <c r="S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Q526" s="36"/>
      <c r="R526" s="36"/>
      <c r="S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Q527" s="36"/>
      <c r="R527" s="36"/>
      <c r="S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Q528" s="36"/>
      <c r="R528" s="36"/>
      <c r="S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Q529" s="36"/>
      <c r="R529" s="36"/>
      <c r="S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Q530" s="36"/>
      <c r="R530" s="36"/>
      <c r="S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Q531" s="36"/>
      <c r="R531" s="36"/>
      <c r="S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Q532" s="36"/>
      <c r="R532" s="36"/>
      <c r="S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Q533" s="36"/>
      <c r="R533" s="36"/>
      <c r="S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Q534" s="36"/>
      <c r="R534" s="36"/>
      <c r="S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Q535" s="36"/>
      <c r="R535" s="36"/>
      <c r="S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Q536" s="36"/>
      <c r="R536" s="36"/>
      <c r="S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Q537" s="36"/>
      <c r="R537" s="36"/>
      <c r="S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Q538" s="36"/>
      <c r="R538" s="36"/>
      <c r="S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Q539" s="36"/>
      <c r="R539" s="36"/>
      <c r="S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Q540" s="36"/>
      <c r="R540" s="36"/>
      <c r="S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Q541" s="36"/>
      <c r="R541" s="36"/>
      <c r="S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Q542" s="36"/>
      <c r="R542" s="36"/>
      <c r="S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Q543" s="36"/>
      <c r="R543" s="36"/>
      <c r="S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Q544" s="36"/>
      <c r="R544" s="36"/>
      <c r="S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Q545" s="36"/>
      <c r="R545" s="36"/>
      <c r="S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Q546" s="36"/>
      <c r="R546" s="36"/>
      <c r="S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Q547" s="36"/>
      <c r="R547" s="36"/>
      <c r="S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Q548" s="36"/>
      <c r="R548" s="36"/>
      <c r="S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Q549" s="36"/>
      <c r="R549" s="36"/>
      <c r="S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Q550" s="36"/>
      <c r="R550" s="36"/>
      <c r="S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Q551" s="36"/>
      <c r="R551" s="36"/>
      <c r="S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Q552" s="36"/>
      <c r="R552" s="36"/>
      <c r="S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Q553" s="36"/>
      <c r="R553" s="36"/>
      <c r="S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Q554" s="36"/>
      <c r="R554" s="36"/>
      <c r="S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Q555" s="36"/>
      <c r="R555" s="36"/>
      <c r="S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Q556" s="36"/>
      <c r="R556" s="36"/>
      <c r="S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Q557" s="36"/>
      <c r="R557" s="36"/>
      <c r="S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Q558" s="36"/>
      <c r="R558" s="36"/>
      <c r="S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Q559" s="36"/>
      <c r="R559" s="36"/>
      <c r="S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Q560" s="36"/>
      <c r="R560" s="36"/>
      <c r="S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Q561" s="36"/>
      <c r="R561" s="36"/>
      <c r="S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Q562" s="36"/>
      <c r="R562" s="36"/>
      <c r="S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Q563" s="36"/>
      <c r="R563" s="36"/>
      <c r="S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Q564" s="36"/>
      <c r="R564" s="36"/>
      <c r="S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Q565" s="36"/>
      <c r="R565" s="36"/>
      <c r="S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Q566" s="36"/>
      <c r="R566" s="36"/>
      <c r="S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Q567" s="36"/>
      <c r="R567" s="36"/>
      <c r="S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Q568" s="36"/>
      <c r="R568" s="36"/>
      <c r="S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Q569" s="36"/>
      <c r="R569" s="36"/>
      <c r="S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Q570" s="36"/>
      <c r="R570" s="36"/>
      <c r="S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Q571" s="36"/>
      <c r="R571" s="36"/>
      <c r="S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Q572" s="36"/>
      <c r="R572" s="36"/>
      <c r="S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Q573" s="36"/>
      <c r="R573" s="36"/>
      <c r="S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Q574" s="36"/>
      <c r="R574" s="36"/>
      <c r="S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Q575" s="36"/>
      <c r="R575" s="36"/>
      <c r="S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Q576" s="36"/>
      <c r="R576" s="36"/>
      <c r="S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Q577" s="36"/>
      <c r="R577" s="36"/>
      <c r="S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Q578" s="36"/>
      <c r="R578" s="36"/>
      <c r="S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Q579" s="36"/>
      <c r="R579" s="36"/>
      <c r="S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Q580" s="36"/>
      <c r="R580" s="36"/>
      <c r="S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Q581" s="36"/>
      <c r="R581" s="36"/>
      <c r="S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Q582" s="36"/>
      <c r="R582" s="36"/>
      <c r="S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Q583" s="36"/>
      <c r="R583" s="36"/>
      <c r="S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Q584" s="36"/>
      <c r="R584" s="36"/>
      <c r="S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Q585" s="36"/>
      <c r="R585" s="36"/>
      <c r="S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Q586" s="36"/>
      <c r="R586" s="36"/>
      <c r="S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Q587" s="36"/>
      <c r="R587" s="36"/>
      <c r="S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Q588" s="36"/>
      <c r="R588" s="36"/>
      <c r="S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Q589" s="36"/>
      <c r="R589" s="36"/>
      <c r="S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Q590" s="36"/>
      <c r="R590" s="36"/>
      <c r="S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Q591" s="36"/>
      <c r="R591" s="36"/>
      <c r="S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Q592" s="36"/>
      <c r="R592" s="36"/>
      <c r="S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Q593" s="36"/>
      <c r="R593" s="36"/>
      <c r="S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Q594" s="36"/>
      <c r="R594" s="36"/>
      <c r="S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Q595" s="36"/>
      <c r="R595" s="36"/>
      <c r="S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Q596" s="36"/>
      <c r="R596" s="36"/>
      <c r="S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Q597" s="36"/>
      <c r="R597" s="36"/>
      <c r="S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Q598" s="36"/>
      <c r="R598" s="36"/>
      <c r="S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Q599" s="36"/>
      <c r="R599" s="36"/>
      <c r="S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Q600" s="36"/>
      <c r="R600" s="36"/>
      <c r="S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Q601" s="36"/>
      <c r="R601" s="36"/>
      <c r="S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Q602" s="36"/>
      <c r="R602" s="36"/>
      <c r="S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Q603" s="36"/>
      <c r="R603" s="36"/>
      <c r="S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Q604" s="36"/>
      <c r="R604" s="36"/>
      <c r="S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Q605" s="36"/>
      <c r="R605" s="36"/>
      <c r="S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Q606" s="36"/>
      <c r="R606" s="36"/>
      <c r="S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Q607" s="36"/>
      <c r="R607" s="36"/>
      <c r="S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Q608" s="36"/>
      <c r="R608" s="36"/>
      <c r="S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Q609" s="36"/>
      <c r="R609" s="36"/>
      <c r="S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Q610" s="36"/>
      <c r="R610" s="36"/>
      <c r="S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Q611" s="36"/>
      <c r="R611" s="36"/>
      <c r="S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Q612" s="36"/>
      <c r="R612" s="36"/>
      <c r="S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Q613" s="36"/>
      <c r="R613" s="36"/>
      <c r="S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Q614" s="36"/>
      <c r="R614" s="36"/>
      <c r="S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Q615" s="36"/>
      <c r="R615" s="36"/>
      <c r="S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Q616" s="36"/>
      <c r="R616" s="36"/>
      <c r="S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Q617" s="36"/>
      <c r="R617" s="36"/>
      <c r="S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Q618" s="36"/>
      <c r="R618" s="36"/>
      <c r="S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Q619" s="36"/>
      <c r="R619" s="36"/>
      <c r="S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Q620" s="36"/>
      <c r="R620" s="36"/>
      <c r="S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Q621" s="36"/>
      <c r="R621" s="36"/>
      <c r="S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Q622" s="36"/>
      <c r="R622" s="36"/>
      <c r="S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Q623" s="36"/>
      <c r="R623" s="36"/>
      <c r="S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Q624" s="36"/>
      <c r="R624" s="36"/>
      <c r="S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Q625" s="36"/>
      <c r="R625" s="36"/>
      <c r="S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Q626" s="36"/>
      <c r="R626" s="36"/>
      <c r="S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Q627" s="36"/>
      <c r="R627" s="36"/>
      <c r="S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Q628" s="36"/>
      <c r="R628" s="36"/>
      <c r="S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Q629" s="36"/>
      <c r="R629" s="36"/>
      <c r="S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Q630" s="36"/>
      <c r="R630" s="36"/>
      <c r="S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Q631" s="36"/>
      <c r="R631" s="36"/>
      <c r="S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Q632" s="36"/>
      <c r="R632" s="36"/>
      <c r="S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Q633" s="36"/>
      <c r="R633" s="36"/>
      <c r="S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Q634" s="36"/>
      <c r="R634" s="36"/>
      <c r="S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Q635" s="36"/>
      <c r="R635" s="36"/>
      <c r="S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Q636" s="36"/>
      <c r="R636" s="36"/>
      <c r="S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Q637" s="36"/>
      <c r="R637" s="36"/>
      <c r="S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Q638" s="36"/>
      <c r="R638" s="36"/>
      <c r="S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Q639" s="36"/>
      <c r="R639" s="36"/>
      <c r="S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Q640" s="36"/>
      <c r="R640" s="36"/>
      <c r="S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Q641" s="36"/>
      <c r="R641" s="36"/>
      <c r="S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Q642" s="36"/>
      <c r="R642" s="36"/>
      <c r="S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Q643" s="36"/>
      <c r="R643" s="36"/>
      <c r="S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Q644" s="36"/>
      <c r="R644" s="36"/>
      <c r="S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Q645" s="36"/>
      <c r="R645" s="36"/>
      <c r="S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Q646" s="36"/>
      <c r="R646" s="36"/>
      <c r="S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Q647" s="36"/>
      <c r="R647" s="36"/>
      <c r="S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Q648" s="36"/>
      <c r="R648" s="36"/>
      <c r="S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Q649" s="36"/>
      <c r="R649" s="36"/>
      <c r="S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Q650" s="36"/>
      <c r="R650" s="36"/>
      <c r="S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Q651" s="36"/>
      <c r="R651" s="36"/>
      <c r="S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Q652" s="36"/>
      <c r="R652" s="36"/>
      <c r="S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Q653" s="36"/>
      <c r="R653" s="36"/>
      <c r="S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Q654" s="36"/>
      <c r="R654" s="36"/>
      <c r="S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Q655" s="36"/>
      <c r="R655" s="36"/>
      <c r="S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Q656" s="36"/>
      <c r="R656" s="36"/>
      <c r="S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Q657" s="36"/>
      <c r="R657" s="36"/>
      <c r="S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Q658" s="36"/>
      <c r="R658" s="36"/>
      <c r="S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Q659" s="36"/>
      <c r="R659" s="36"/>
      <c r="S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Q660" s="36"/>
      <c r="R660" s="36"/>
      <c r="S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Q661" s="36"/>
      <c r="R661" s="36"/>
      <c r="S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Q662" s="36"/>
      <c r="R662" s="36"/>
      <c r="S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Q663" s="36"/>
      <c r="R663" s="36"/>
      <c r="S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Q664" s="36"/>
      <c r="R664" s="36"/>
      <c r="S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Q665" s="36"/>
      <c r="R665" s="36"/>
      <c r="S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Q666" s="36"/>
      <c r="R666" s="36"/>
      <c r="S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Q667" s="36"/>
      <c r="R667" s="36"/>
      <c r="S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Q668" s="36"/>
      <c r="R668" s="36"/>
      <c r="S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Q669" s="36"/>
      <c r="R669" s="36"/>
      <c r="S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Q670" s="36"/>
      <c r="R670" s="36"/>
      <c r="S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Q671" s="36"/>
      <c r="R671" s="36"/>
      <c r="S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Q672" s="36"/>
      <c r="R672" s="36"/>
      <c r="S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Q673" s="36"/>
      <c r="R673" s="36"/>
      <c r="S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Q674" s="36"/>
      <c r="R674" s="36"/>
      <c r="S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Q675" s="36"/>
      <c r="R675" s="36"/>
      <c r="S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Q676" s="36"/>
      <c r="R676" s="36"/>
      <c r="S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Q677" s="36"/>
      <c r="R677" s="36"/>
      <c r="S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Q678" s="36"/>
      <c r="R678" s="36"/>
      <c r="S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Q679" s="36"/>
      <c r="R679" s="36"/>
      <c r="S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Q680" s="36"/>
      <c r="R680" s="36"/>
      <c r="S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Q681" s="36"/>
      <c r="R681" s="36"/>
      <c r="S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Q682" s="36"/>
      <c r="R682" s="36"/>
      <c r="S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Q683" s="36"/>
      <c r="R683" s="36"/>
      <c r="S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Q684" s="36"/>
      <c r="R684" s="36"/>
      <c r="S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Q685" s="36"/>
      <c r="R685" s="36"/>
      <c r="S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Q686" s="36"/>
      <c r="R686" s="36"/>
      <c r="S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Q687" s="36"/>
      <c r="R687" s="36"/>
      <c r="S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Q688" s="36"/>
      <c r="R688" s="36"/>
      <c r="S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Q689" s="36"/>
      <c r="R689" s="36"/>
      <c r="S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Q690" s="36"/>
      <c r="R690" s="36"/>
      <c r="S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Q691" s="36"/>
      <c r="R691" s="36"/>
      <c r="S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Q692" s="36"/>
      <c r="R692" s="36"/>
      <c r="S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Q693" s="36"/>
      <c r="R693" s="36"/>
      <c r="S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Q694" s="36"/>
      <c r="R694" s="36"/>
      <c r="S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Q695" s="36"/>
      <c r="R695" s="36"/>
      <c r="S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Q696" s="36"/>
      <c r="R696" s="36"/>
      <c r="S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Q697" s="36"/>
      <c r="R697" s="36"/>
      <c r="S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Q698" s="36"/>
      <c r="R698" s="36"/>
      <c r="S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Q699" s="36"/>
      <c r="R699" s="36"/>
      <c r="S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Q700" s="36"/>
      <c r="R700" s="36"/>
      <c r="S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Q701" s="36"/>
      <c r="R701" s="36"/>
      <c r="S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Q702" s="36"/>
      <c r="R702" s="36"/>
      <c r="S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Q703" s="36"/>
      <c r="R703" s="36"/>
      <c r="S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Q704" s="36"/>
      <c r="R704" s="36"/>
      <c r="S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Q705" s="36"/>
      <c r="R705" s="36"/>
      <c r="S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Q706" s="36"/>
      <c r="R706" s="36"/>
      <c r="S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Q707" s="36"/>
      <c r="R707" s="36"/>
      <c r="S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Q708" s="36"/>
      <c r="R708" s="36"/>
      <c r="S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Q709" s="36"/>
      <c r="R709" s="36"/>
      <c r="S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Q710" s="36"/>
      <c r="R710" s="36"/>
      <c r="S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Q711" s="36"/>
      <c r="R711" s="36"/>
      <c r="S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Q712" s="36"/>
      <c r="R712" s="36"/>
      <c r="S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Q713" s="36"/>
      <c r="R713" s="36"/>
      <c r="S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Q714" s="36"/>
      <c r="R714" s="36"/>
      <c r="S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Q715" s="36"/>
      <c r="R715" s="36"/>
      <c r="S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Q716" s="36"/>
      <c r="R716" s="36"/>
      <c r="S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Q717" s="36"/>
      <c r="R717" s="36"/>
      <c r="S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Q718" s="36"/>
      <c r="R718" s="36"/>
      <c r="S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Q719" s="36"/>
      <c r="R719" s="36"/>
      <c r="S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Q720" s="36"/>
      <c r="R720" s="36"/>
      <c r="S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Q721" s="36"/>
      <c r="R721" s="36"/>
      <c r="S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Q722" s="36"/>
      <c r="R722" s="36"/>
      <c r="S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Q723" s="36"/>
      <c r="R723" s="36"/>
      <c r="S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Q724" s="36"/>
      <c r="R724" s="36"/>
      <c r="S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Q725" s="36"/>
      <c r="R725" s="36"/>
      <c r="S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Q726" s="36"/>
      <c r="R726" s="36"/>
      <c r="S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Q727" s="36"/>
      <c r="R727" s="36"/>
      <c r="S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Q728" s="36"/>
      <c r="R728" s="36"/>
      <c r="S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Q729" s="36"/>
      <c r="R729" s="36"/>
      <c r="S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Q730" s="36"/>
      <c r="R730" s="36"/>
      <c r="S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Q731" s="36"/>
      <c r="R731" s="36"/>
      <c r="S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Q732" s="36"/>
      <c r="R732" s="36"/>
      <c r="S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Q733" s="36"/>
      <c r="R733" s="36"/>
      <c r="S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Q734" s="36"/>
      <c r="R734" s="36"/>
      <c r="S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Q735" s="36"/>
      <c r="R735" s="36"/>
      <c r="S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Q736" s="36"/>
      <c r="R736" s="36"/>
      <c r="S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Q737" s="36"/>
      <c r="R737" s="36"/>
      <c r="S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Q738" s="36"/>
      <c r="R738" s="36"/>
      <c r="S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Q739" s="36"/>
      <c r="R739" s="36"/>
      <c r="S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Q740" s="36"/>
      <c r="R740" s="36"/>
      <c r="S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Q741" s="36"/>
      <c r="R741" s="36"/>
      <c r="S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Q742" s="36"/>
      <c r="R742" s="36"/>
      <c r="S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Q743" s="36"/>
      <c r="R743" s="36"/>
      <c r="S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Q744" s="36"/>
      <c r="R744" s="36"/>
      <c r="S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Q745" s="36"/>
      <c r="R745" s="36"/>
      <c r="S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Q746" s="36"/>
      <c r="R746" s="36"/>
      <c r="S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Q747" s="36"/>
      <c r="R747" s="36"/>
      <c r="S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Q748" s="36"/>
      <c r="R748" s="36"/>
      <c r="S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Q749" s="36"/>
      <c r="R749" s="36"/>
      <c r="S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Q750" s="36"/>
      <c r="R750" s="36"/>
      <c r="S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Q751" s="36"/>
      <c r="R751" s="36"/>
      <c r="S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Q752" s="36"/>
      <c r="R752" s="36"/>
      <c r="S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Q753" s="36"/>
      <c r="R753" s="36"/>
      <c r="S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Q754" s="36"/>
      <c r="R754" s="36"/>
      <c r="S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Q755" s="36"/>
      <c r="R755" s="36"/>
      <c r="S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Q756" s="36"/>
      <c r="R756" s="36"/>
      <c r="S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Q757" s="36"/>
      <c r="R757" s="36"/>
      <c r="S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Q758" s="36"/>
      <c r="R758" s="36"/>
      <c r="S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Q759" s="36"/>
      <c r="R759" s="36"/>
      <c r="S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Q760" s="36"/>
      <c r="R760" s="36"/>
      <c r="S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Q761" s="36"/>
      <c r="R761" s="36"/>
      <c r="S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Q762" s="36"/>
      <c r="R762" s="36"/>
      <c r="S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Q763" s="36"/>
      <c r="R763" s="36"/>
      <c r="S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Q764" s="36"/>
      <c r="R764" s="36"/>
      <c r="S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Q765" s="36"/>
      <c r="R765" s="36"/>
      <c r="S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Q766" s="36"/>
      <c r="R766" s="36"/>
      <c r="S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Q767" s="36"/>
      <c r="R767" s="36"/>
      <c r="S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Q768" s="36"/>
      <c r="R768" s="36"/>
      <c r="S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Q769" s="36"/>
      <c r="R769" s="36"/>
      <c r="S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Q770" s="36"/>
      <c r="R770" s="36"/>
      <c r="S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Q771" s="36"/>
      <c r="R771" s="36"/>
      <c r="S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Q772" s="36"/>
      <c r="R772" s="36"/>
      <c r="S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Q773" s="36"/>
      <c r="R773" s="36"/>
      <c r="S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Q774" s="36"/>
      <c r="R774" s="36"/>
      <c r="S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Q775" s="36"/>
      <c r="R775" s="36"/>
      <c r="S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Q776" s="36"/>
      <c r="R776" s="36"/>
      <c r="S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Q777" s="36"/>
      <c r="R777" s="36"/>
      <c r="S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Q778" s="36"/>
      <c r="R778" s="36"/>
      <c r="S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Q779" s="36"/>
      <c r="R779" s="36"/>
      <c r="S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Q780" s="36"/>
      <c r="R780" s="36"/>
      <c r="S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Q781" s="36"/>
      <c r="R781" s="36"/>
      <c r="S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Q782" s="36"/>
      <c r="R782" s="36"/>
      <c r="S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Q783" s="36"/>
      <c r="R783" s="36"/>
      <c r="S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Q784" s="36"/>
      <c r="R784" s="36"/>
      <c r="S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Q785" s="36"/>
      <c r="R785" s="36"/>
      <c r="S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Q786" s="36"/>
      <c r="R786" s="36"/>
      <c r="S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Q787" s="36"/>
      <c r="R787" s="36"/>
      <c r="S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Q788" s="36"/>
      <c r="R788" s="36"/>
      <c r="S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Q789" s="36"/>
      <c r="R789" s="36"/>
      <c r="S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Q790" s="36"/>
      <c r="R790" s="36"/>
      <c r="S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Q791" s="36"/>
      <c r="R791" s="36"/>
      <c r="S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Q792" s="36"/>
      <c r="R792" s="36"/>
      <c r="S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Q793" s="36"/>
      <c r="R793" s="36"/>
      <c r="S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Q794" s="36"/>
      <c r="R794" s="36"/>
      <c r="S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Q795" s="36"/>
      <c r="R795" s="36"/>
      <c r="S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Q796" s="36"/>
      <c r="R796" s="36"/>
      <c r="S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Q797" s="36"/>
      <c r="R797" s="36"/>
      <c r="S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Q798" s="36"/>
      <c r="R798" s="36"/>
      <c r="S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Q799" s="36"/>
      <c r="R799" s="36"/>
      <c r="S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Q800" s="36"/>
      <c r="R800" s="36"/>
      <c r="S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Q801" s="36"/>
      <c r="R801" s="36"/>
      <c r="S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Q802" s="36"/>
      <c r="R802" s="36"/>
      <c r="S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Q803" s="36"/>
      <c r="R803" s="36"/>
      <c r="S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Q804" s="36"/>
      <c r="R804" s="36"/>
      <c r="S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Q805" s="36"/>
      <c r="R805" s="36"/>
      <c r="S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Q806" s="36"/>
      <c r="R806" s="36"/>
      <c r="S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Q807" s="36"/>
      <c r="R807" s="36"/>
      <c r="S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Q808" s="36"/>
      <c r="R808" s="36"/>
      <c r="S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Q809" s="36"/>
      <c r="R809" s="36"/>
      <c r="S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Q810" s="36"/>
      <c r="R810" s="36"/>
      <c r="S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Q811" s="36"/>
      <c r="R811" s="36"/>
      <c r="S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Q812" s="36"/>
      <c r="R812" s="36"/>
      <c r="S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Q813" s="36"/>
      <c r="R813" s="36"/>
      <c r="S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Q814" s="36"/>
      <c r="R814" s="36"/>
      <c r="S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Q815" s="36"/>
      <c r="R815" s="36"/>
      <c r="S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Q816" s="36"/>
      <c r="R816" s="36"/>
      <c r="S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Q817" s="36"/>
      <c r="R817" s="36"/>
      <c r="S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Q818" s="36"/>
      <c r="R818" s="36"/>
      <c r="S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Q819" s="36"/>
      <c r="R819" s="36"/>
      <c r="S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Q820" s="36"/>
      <c r="R820" s="36"/>
      <c r="S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Q821" s="36"/>
      <c r="R821" s="36"/>
      <c r="S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Q822" s="36"/>
      <c r="R822" s="36"/>
      <c r="S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Q823" s="36"/>
      <c r="R823" s="36"/>
      <c r="S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Q824" s="36"/>
      <c r="R824" s="36"/>
      <c r="S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Q825" s="36"/>
      <c r="R825" s="36"/>
      <c r="S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Q826" s="36"/>
      <c r="R826" s="36"/>
      <c r="S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Q827" s="36"/>
      <c r="R827" s="36"/>
      <c r="S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Q828" s="36"/>
      <c r="R828" s="36"/>
      <c r="S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Q829" s="36"/>
      <c r="R829" s="36"/>
      <c r="S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Q830" s="36"/>
      <c r="R830" s="36"/>
      <c r="S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Q831" s="36"/>
      <c r="R831" s="36"/>
      <c r="S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Q832" s="36"/>
      <c r="R832" s="36"/>
      <c r="S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Q833" s="36"/>
      <c r="R833" s="36"/>
      <c r="S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Q834" s="36"/>
      <c r="R834" s="36"/>
      <c r="S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Q835" s="36"/>
      <c r="R835" s="36"/>
      <c r="S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Q836" s="36"/>
      <c r="R836" s="36"/>
      <c r="S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Q837" s="36"/>
      <c r="R837" s="36"/>
      <c r="S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Q838" s="36"/>
      <c r="R838" s="36"/>
      <c r="S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Q839" s="36"/>
      <c r="R839" s="36"/>
      <c r="S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Q840" s="36"/>
      <c r="R840" s="36"/>
      <c r="S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Q841" s="36"/>
      <c r="R841" s="36"/>
      <c r="S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Q842" s="36"/>
      <c r="R842" s="36"/>
      <c r="S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Q843" s="36"/>
      <c r="R843" s="36"/>
      <c r="S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Q844" s="36"/>
      <c r="R844" s="36"/>
      <c r="S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Q845" s="36"/>
      <c r="R845" s="36"/>
      <c r="S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Q846" s="36"/>
      <c r="R846" s="36"/>
      <c r="S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Q847" s="36"/>
      <c r="R847" s="36"/>
      <c r="S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Q848" s="36"/>
      <c r="R848" s="36"/>
      <c r="S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Q849" s="36"/>
      <c r="R849" s="36"/>
      <c r="S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Q850" s="36"/>
      <c r="R850" s="36"/>
      <c r="S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Q851" s="36"/>
      <c r="R851" s="36"/>
      <c r="S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Q852" s="36"/>
      <c r="R852" s="36"/>
      <c r="S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Q853" s="36"/>
      <c r="R853" s="36"/>
      <c r="S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Q854" s="36"/>
      <c r="R854" s="36"/>
      <c r="S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Q855" s="36"/>
      <c r="R855" s="36"/>
      <c r="S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Q856" s="36"/>
      <c r="R856" s="36"/>
      <c r="S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Q857" s="36"/>
      <c r="R857" s="36"/>
      <c r="S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Q858" s="36"/>
      <c r="R858" s="36"/>
      <c r="S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Q859" s="36"/>
      <c r="R859" s="36"/>
      <c r="S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Q860" s="36"/>
      <c r="R860" s="36"/>
      <c r="S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Q861" s="36"/>
      <c r="R861" s="36"/>
      <c r="S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Q862" s="36"/>
      <c r="R862" s="36"/>
      <c r="S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Q863" s="36"/>
      <c r="R863" s="36"/>
      <c r="S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Q864" s="36"/>
      <c r="R864" s="36"/>
      <c r="S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Q865" s="36"/>
      <c r="R865" s="36"/>
      <c r="S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Q866" s="36"/>
      <c r="R866" s="36"/>
      <c r="S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Q867" s="36"/>
      <c r="R867" s="36"/>
      <c r="S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Q868" s="36"/>
      <c r="R868" s="36"/>
      <c r="S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Q869" s="36"/>
      <c r="R869" s="36"/>
      <c r="S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Q870" s="36"/>
      <c r="R870" s="36"/>
      <c r="S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Q871" s="36"/>
      <c r="R871" s="36"/>
      <c r="S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Q872" s="36"/>
      <c r="R872" s="36"/>
      <c r="S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Q873" s="36"/>
      <c r="R873" s="36"/>
      <c r="S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Q874" s="36"/>
      <c r="R874" s="36"/>
      <c r="S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Q875" s="36"/>
      <c r="R875" s="36"/>
      <c r="S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Q876" s="36"/>
      <c r="R876" s="36"/>
      <c r="S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Q877" s="36"/>
      <c r="R877" s="36"/>
      <c r="S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Q878" s="36"/>
      <c r="R878" s="36"/>
      <c r="S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Q879" s="36"/>
      <c r="R879" s="36"/>
      <c r="S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Q880" s="36"/>
      <c r="R880" s="36"/>
      <c r="S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Q881" s="36"/>
      <c r="R881" s="36"/>
      <c r="S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Q882" s="36"/>
      <c r="R882" s="36"/>
      <c r="S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Q883" s="36"/>
      <c r="R883" s="36"/>
      <c r="S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Q884" s="36"/>
      <c r="R884" s="36"/>
      <c r="S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Q885" s="36"/>
      <c r="R885" s="36"/>
      <c r="S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Q886" s="36"/>
      <c r="R886" s="36"/>
      <c r="S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Q887" s="36"/>
      <c r="R887" s="36"/>
      <c r="S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Q888" s="36"/>
      <c r="R888" s="36"/>
      <c r="S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Q889" s="36"/>
      <c r="R889" s="36"/>
      <c r="S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Q890" s="36"/>
      <c r="R890" s="36"/>
      <c r="S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Q891" s="36"/>
      <c r="R891" s="36"/>
      <c r="S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Q892" s="36"/>
      <c r="R892" s="36"/>
      <c r="S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Q893" s="36"/>
      <c r="R893" s="36"/>
      <c r="S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Q894" s="36"/>
      <c r="R894" s="36"/>
      <c r="S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Q895" s="36"/>
      <c r="R895" s="36"/>
      <c r="S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Q896" s="36"/>
      <c r="R896" s="36"/>
      <c r="S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Q897" s="36"/>
      <c r="R897" s="36"/>
      <c r="S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Q898" s="36"/>
      <c r="R898" s="36"/>
      <c r="S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Q899" s="36"/>
      <c r="R899" s="36"/>
      <c r="S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Q900" s="36"/>
      <c r="R900" s="36"/>
      <c r="S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Q901" s="36"/>
      <c r="R901" s="36"/>
      <c r="S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Q902" s="36"/>
      <c r="R902" s="36"/>
      <c r="S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Q903" s="36"/>
      <c r="R903" s="36"/>
      <c r="S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Q904" s="36"/>
      <c r="R904" s="36"/>
      <c r="S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Q905" s="36"/>
      <c r="R905" s="36"/>
      <c r="S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Q906" s="36"/>
      <c r="R906" s="36"/>
      <c r="S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Q907" s="36"/>
      <c r="R907" s="36"/>
      <c r="S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Q908" s="36"/>
      <c r="R908" s="36"/>
      <c r="S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Q909" s="36"/>
      <c r="R909" s="36"/>
      <c r="S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Q910" s="36"/>
      <c r="R910" s="36"/>
      <c r="S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Q911" s="36"/>
      <c r="R911" s="36"/>
      <c r="S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Q912" s="36"/>
      <c r="R912" s="36"/>
      <c r="S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Q913" s="36"/>
      <c r="R913" s="36"/>
      <c r="S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Q914" s="36"/>
      <c r="R914" s="36"/>
      <c r="S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Q915" s="36"/>
      <c r="R915" s="36"/>
      <c r="S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Q916" s="36"/>
      <c r="R916" s="36"/>
      <c r="S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Q917" s="36"/>
      <c r="R917" s="36"/>
      <c r="S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Q918" s="36"/>
      <c r="R918" s="36"/>
      <c r="S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Q919" s="36"/>
      <c r="R919" s="36"/>
      <c r="S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Q920" s="36"/>
      <c r="R920" s="36"/>
      <c r="S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Q921" s="36"/>
      <c r="R921" s="36"/>
      <c r="S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Q922" s="36"/>
      <c r="R922" s="36"/>
      <c r="S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Q923" s="36"/>
      <c r="R923" s="36"/>
      <c r="S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Q924" s="36"/>
      <c r="R924" s="36"/>
      <c r="S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Q925" s="36"/>
      <c r="R925" s="36"/>
      <c r="S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Q926" s="36"/>
      <c r="R926" s="36"/>
      <c r="S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Q927" s="36"/>
      <c r="R927" s="36"/>
      <c r="S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Q928" s="36"/>
      <c r="R928" s="36"/>
      <c r="S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Q929" s="36"/>
      <c r="R929" s="36"/>
      <c r="S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Q930" s="36"/>
      <c r="R930" s="36"/>
      <c r="S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Q931" s="36"/>
      <c r="R931" s="36"/>
      <c r="S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Q932" s="36"/>
      <c r="R932" s="36"/>
      <c r="S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Q933" s="36"/>
      <c r="R933" s="36"/>
      <c r="S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Q934" s="36"/>
      <c r="R934" s="36"/>
      <c r="S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Q935" s="36"/>
      <c r="R935" s="36"/>
      <c r="S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Q936" s="36"/>
      <c r="R936" s="36"/>
      <c r="S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Q937" s="36"/>
      <c r="R937" s="36"/>
      <c r="S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Q938" s="36"/>
      <c r="R938" s="36"/>
      <c r="S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Q939" s="36"/>
      <c r="R939" s="36"/>
      <c r="S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Q940" s="36"/>
      <c r="R940" s="36"/>
      <c r="S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Q941" s="36"/>
      <c r="R941" s="36"/>
      <c r="S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Q942" s="36"/>
      <c r="R942" s="36"/>
      <c r="S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Q943" s="36"/>
      <c r="R943" s="36"/>
      <c r="S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Q944" s="36"/>
      <c r="R944" s="36"/>
      <c r="S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Q945" s="36"/>
      <c r="R945" s="36"/>
      <c r="S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Q946" s="36"/>
      <c r="R946" s="36"/>
      <c r="S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Q947" s="36"/>
      <c r="R947" s="36"/>
      <c r="S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Q948" s="36"/>
      <c r="R948" s="36"/>
      <c r="S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Q949" s="36"/>
      <c r="R949" s="36"/>
      <c r="S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Q950" s="36"/>
      <c r="R950" s="36"/>
      <c r="S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Q951" s="36"/>
      <c r="R951" s="36"/>
      <c r="S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Q952" s="36"/>
      <c r="R952" s="36"/>
      <c r="S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Q953" s="36"/>
      <c r="R953" s="36"/>
      <c r="S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Q954" s="36"/>
      <c r="R954" s="36"/>
      <c r="S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Q955" s="36"/>
      <c r="R955" s="36"/>
      <c r="S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Q956" s="36"/>
      <c r="R956" s="36"/>
      <c r="S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Q957" s="36"/>
      <c r="R957" s="36"/>
      <c r="S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Q958" s="36"/>
      <c r="R958" s="36"/>
      <c r="S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Q959" s="36"/>
      <c r="R959" s="36"/>
      <c r="S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Q960" s="36"/>
      <c r="R960" s="36"/>
      <c r="S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Q961" s="36"/>
      <c r="R961" s="36"/>
      <c r="S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Q962" s="36"/>
      <c r="R962" s="36"/>
      <c r="S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Q963" s="36"/>
      <c r="R963" s="36"/>
      <c r="S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Q964" s="36"/>
      <c r="R964" s="36"/>
      <c r="S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Q965" s="36"/>
      <c r="R965" s="36"/>
      <c r="S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Q966" s="36"/>
      <c r="R966" s="36"/>
      <c r="S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Q967" s="36"/>
      <c r="R967" s="36"/>
      <c r="S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Q968" s="36"/>
      <c r="R968" s="36"/>
      <c r="S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Q969" s="36"/>
      <c r="R969" s="36"/>
      <c r="S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Q970" s="36"/>
      <c r="R970" s="36"/>
      <c r="S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Q971" s="36"/>
      <c r="R971" s="36"/>
      <c r="S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Q972" s="36"/>
      <c r="R972" s="36"/>
      <c r="S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Q973" s="36"/>
      <c r="R973" s="36"/>
      <c r="S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Q974" s="36"/>
      <c r="R974" s="36"/>
      <c r="S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Q975" s="36"/>
      <c r="R975" s="36"/>
      <c r="S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Q976" s="36"/>
      <c r="R976" s="36"/>
      <c r="S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Q977" s="36"/>
      <c r="R977" s="36"/>
      <c r="S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Q978" s="36"/>
      <c r="R978" s="36"/>
      <c r="S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Q979" s="36"/>
      <c r="R979" s="36"/>
      <c r="S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Q980" s="36"/>
      <c r="R980" s="36"/>
      <c r="S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Q981" s="36"/>
      <c r="R981" s="36"/>
      <c r="S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Q982" s="36"/>
      <c r="R982" s="36"/>
      <c r="S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Q983" s="36"/>
      <c r="R983" s="36"/>
      <c r="S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Q984" s="36"/>
      <c r="R984" s="36"/>
      <c r="S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Q985" s="36"/>
      <c r="R985" s="36"/>
      <c r="S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Q986" s="36"/>
      <c r="R986" s="36"/>
      <c r="S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Q987" s="36"/>
      <c r="R987" s="36"/>
      <c r="S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Q988" s="36"/>
      <c r="R988" s="36"/>
      <c r="S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Q989" s="36"/>
      <c r="R989" s="36"/>
      <c r="S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Q990" s="36"/>
      <c r="R990" s="36"/>
      <c r="S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Q991" s="36"/>
      <c r="R991" s="36"/>
      <c r="S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Q992" s="36"/>
      <c r="R992" s="36"/>
      <c r="S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Q993" s="36"/>
      <c r="R993" s="36"/>
      <c r="S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Q994" s="36"/>
      <c r="R994" s="36"/>
      <c r="S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Q995" s="36"/>
      <c r="R995" s="36"/>
      <c r="S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Q996" s="36"/>
      <c r="R996" s="36"/>
      <c r="S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Q997" s="36"/>
      <c r="R997" s="36"/>
      <c r="S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Q998" s="36"/>
      <c r="R998" s="36"/>
      <c r="S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Q999" s="36"/>
      <c r="R999" s="36"/>
      <c r="S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Q1000" s="36"/>
      <c r="R1000" s="36"/>
      <c r="S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Q1001" s="36"/>
      <c r="R1001" s="36"/>
      <c r="S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Q1002" s="36"/>
      <c r="R1002" s="36"/>
      <c r="S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Q1003" s="36"/>
      <c r="R1003" s="36"/>
      <c r="S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Q1004" s="36"/>
      <c r="R1004" s="36"/>
      <c r="S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Q1005" s="36"/>
      <c r="R1005" s="36"/>
      <c r="S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Q1006" s="36"/>
      <c r="R1006" s="36"/>
      <c r="S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Q1007" s="36"/>
      <c r="R1007" s="36"/>
      <c r="S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Q1008" s="36"/>
      <c r="R1008" s="36"/>
      <c r="S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Q1009" s="36"/>
      <c r="R1009" s="36"/>
      <c r="S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Q1010" s="36"/>
      <c r="R1010" s="36"/>
      <c r="S1010" s="36"/>
    </row>
  </sheetData>
  <mergeCells count="6">
    <mergeCell ref="B1:D1"/>
    <mergeCell ref="E1:G1"/>
    <mergeCell ref="H1:J1"/>
    <mergeCell ref="K1:M1"/>
    <mergeCell ref="N1:P1"/>
    <mergeCell ref="Q1:S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3" width="7.5"/>
    <col customWidth="1" min="4" max="4" width="7.25"/>
    <col customWidth="1" min="5" max="5" width="10.0"/>
    <col customWidth="1" min="6" max="6" width="10.25"/>
    <col customWidth="1" min="7" max="7" width="8.38"/>
    <col customWidth="1" min="8" max="8" width="11.75"/>
  </cols>
  <sheetData>
    <row r="1">
      <c r="A1" s="1" t="s">
        <v>26</v>
      </c>
      <c r="B1" s="2" t="s">
        <v>1</v>
      </c>
      <c r="C1" s="3"/>
      <c r="D1" s="4"/>
      <c r="E1" s="5" t="s">
        <v>2</v>
      </c>
      <c r="F1" s="3"/>
      <c r="G1" s="4"/>
      <c r="H1" s="6" t="s">
        <v>3</v>
      </c>
      <c r="I1" s="3"/>
      <c r="J1" s="4"/>
      <c r="K1" s="7" t="s">
        <v>4</v>
      </c>
      <c r="L1" s="3"/>
      <c r="M1" s="4"/>
      <c r="N1" s="8" t="s">
        <v>5</v>
      </c>
      <c r="O1" s="3"/>
      <c r="P1" s="4"/>
      <c r="Q1" s="9" t="s">
        <v>6</v>
      </c>
      <c r="R1" s="3"/>
      <c r="S1" s="4"/>
    </row>
    <row r="2">
      <c r="A2" s="10" t="s">
        <v>7</v>
      </c>
      <c r="B2" s="11">
        <v>4096.0</v>
      </c>
      <c r="C2" s="11">
        <v>8192.0</v>
      </c>
      <c r="D2" s="11">
        <v>16384.0</v>
      </c>
      <c r="E2" s="12">
        <v>4096.0</v>
      </c>
      <c r="F2" s="12">
        <v>8192.0</v>
      </c>
      <c r="G2" s="12">
        <v>16384.0</v>
      </c>
      <c r="H2" s="13">
        <v>4096.0</v>
      </c>
      <c r="I2" s="13">
        <v>8192.0</v>
      </c>
      <c r="J2" s="13">
        <v>16384.0</v>
      </c>
      <c r="K2" s="14">
        <v>4096.0</v>
      </c>
      <c r="L2" s="14">
        <v>8192.0</v>
      </c>
      <c r="M2" s="14">
        <v>16384.0</v>
      </c>
      <c r="N2" s="15">
        <v>4096.0</v>
      </c>
      <c r="O2" s="15">
        <v>8192.0</v>
      </c>
      <c r="P2" s="15">
        <v>16384.0</v>
      </c>
      <c r="Q2" s="16">
        <v>4096.0</v>
      </c>
      <c r="R2" s="16">
        <v>8192.0</v>
      </c>
      <c r="S2" s="16">
        <v>16384.0</v>
      </c>
      <c r="T2" s="17"/>
      <c r="U2" s="17"/>
      <c r="V2" s="17"/>
      <c r="W2" s="17"/>
      <c r="X2" s="17"/>
      <c r="Y2" s="17"/>
      <c r="Z2" s="17"/>
    </row>
    <row r="3">
      <c r="A3" s="18" t="s">
        <v>8</v>
      </c>
      <c r="B3" s="19"/>
      <c r="C3" s="19"/>
      <c r="D3" s="19"/>
      <c r="E3" s="20"/>
      <c r="F3" s="20"/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>
      <c r="A4" s="23" t="s">
        <v>9</v>
      </c>
      <c r="B4" s="24">
        <v>1624.0</v>
      </c>
      <c r="C4" s="24">
        <v>815.0</v>
      </c>
      <c r="D4" s="24">
        <v>409.0</v>
      </c>
      <c r="E4" s="25">
        <v>25.0</v>
      </c>
      <c r="F4" s="25">
        <v>33.3</v>
      </c>
      <c r="G4" s="25">
        <v>33.3</v>
      </c>
      <c r="H4" s="26">
        <v>100.23</v>
      </c>
      <c r="I4" s="26">
        <v>91.52</v>
      </c>
      <c r="J4" s="26">
        <v>88.76</v>
      </c>
      <c r="K4" s="27">
        <v>46.0</v>
      </c>
      <c r="L4" s="27">
        <v>45.5</v>
      </c>
      <c r="M4" s="27">
        <v>45.5</v>
      </c>
      <c r="N4" s="41">
        <v>17.73</v>
      </c>
      <c r="O4" s="41">
        <v>60.91</v>
      </c>
      <c r="P4" s="41">
        <v>82.4</v>
      </c>
      <c r="Q4" s="29">
        <v>204.9</v>
      </c>
      <c r="R4" s="29">
        <v>282.6</v>
      </c>
      <c r="S4" s="29">
        <v>282.6</v>
      </c>
    </row>
    <row r="5">
      <c r="A5" s="23" t="s">
        <v>10</v>
      </c>
      <c r="B5" s="24">
        <v>1623.0</v>
      </c>
      <c r="C5" s="24">
        <v>814.0</v>
      </c>
      <c r="D5" s="24">
        <v>408.0</v>
      </c>
      <c r="E5" s="25">
        <v>33.3</v>
      </c>
      <c r="F5" s="25">
        <v>33.3</v>
      </c>
      <c r="G5" s="25">
        <v>25.0</v>
      </c>
      <c r="H5" s="26">
        <v>101.98</v>
      </c>
      <c r="I5" s="26">
        <v>92.89</v>
      </c>
      <c r="J5" s="26">
        <v>89.29</v>
      </c>
      <c r="K5" s="27">
        <v>45.5</v>
      </c>
      <c r="L5" s="27">
        <v>45.5</v>
      </c>
      <c r="M5" s="27">
        <v>45.5</v>
      </c>
      <c r="N5" s="30">
        <v>18.84</v>
      </c>
      <c r="O5" s="30">
        <v>61.73</v>
      </c>
      <c r="P5" s="30">
        <v>82.7</v>
      </c>
      <c r="Q5" s="29">
        <v>204.8</v>
      </c>
      <c r="R5" s="29">
        <v>282.4</v>
      </c>
      <c r="S5" s="29">
        <v>282.4</v>
      </c>
    </row>
    <row r="6">
      <c r="A6" s="23" t="s">
        <v>11</v>
      </c>
      <c r="B6" s="24">
        <v>1624.0</v>
      </c>
      <c r="C6" s="24">
        <v>813.0</v>
      </c>
      <c r="D6" s="24">
        <v>408.0</v>
      </c>
      <c r="E6" s="25">
        <v>33.3</v>
      </c>
      <c r="F6" s="25">
        <v>33.3</v>
      </c>
      <c r="G6" s="25">
        <v>33.3</v>
      </c>
      <c r="H6" s="26">
        <v>100.52</v>
      </c>
      <c r="I6" s="26">
        <v>91.58</v>
      </c>
      <c r="J6" s="26">
        <v>88.68</v>
      </c>
      <c r="K6" s="27">
        <v>45.5</v>
      </c>
      <c r="L6" s="27">
        <v>45.5</v>
      </c>
      <c r="M6" s="27">
        <v>45.5</v>
      </c>
      <c r="N6" s="30">
        <v>15.52</v>
      </c>
      <c r="O6" s="30">
        <v>58.24</v>
      </c>
      <c r="P6" s="30">
        <v>79.52</v>
      </c>
      <c r="Q6" s="29">
        <v>209.0</v>
      </c>
      <c r="R6" s="29">
        <v>286.7</v>
      </c>
      <c r="S6" s="29">
        <v>286.7</v>
      </c>
    </row>
    <row r="7">
      <c r="A7" s="31" t="s">
        <v>12</v>
      </c>
      <c r="B7" s="32">
        <f t="shared" ref="B7:S7" si="1">MEDIAN(B4:B6)</f>
        <v>1624</v>
      </c>
      <c r="C7" s="32">
        <f t="shared" si="1"/>
        <v>814</v>
      </c>
      <c r="D7" s="32">
        <f t="shared" si="1"/>
        <v>408</v>
      </c>
      <c r="E7" s="32">
        <f t="shared" si="1"/>
        <v>33.3</v>
      </c>
      <c r="F7" s="32">
        <f t="shared" si="1"/>
        <v>33.3</v>
      </c>
      <c r="G7" s="32">
        <f t="shared" si="1"/>
        <v>33.3</v>
      </c>
      <c r="H7" s="32">
        <f t="shared" si="1"/>
        <v>100.52</v>
      </c>
      <c r="I7" s="32">
        <f t="shared" si="1"/>
        <v>91.58</v>
      </c>
      <c r="J7" s="32">
        <f t="shared" si="1"/>
        <v>88.76</v>
      </c>
      <c r="K7" s="32">
        <f t="shared" si="1"/>
        <v>45.5</v>
      </c>
      <c r="L7" s="32">
        <f t="shared" si="1"/>
        <v>45.5</v>
      </c>
      <c r="M7" s="32">
        <f t="shared" si="1"/>
        <v>45.5</v>
      </c>
      <c r="N7" s="32">
        <f t="shared" si="1"/>
        <v>17.73</v>
      </c>
      <c r="O7" s="32">
        <f t="shared" si="1"/>
        <v>60.91</v>
      </c>
      <c r="P7" s="32">
        <f t="shared" si="1"/>
        <v>82.4</v>
      </c>
      <c r="Q7" s="32">
        <f t="shared" si="1"/>
        <v>204.9</v>
      </c>
      <c r="R7" s="32">
        <f t="shared" si="1"/>
        <v>282.6</v>
      </c>
      <c r="S7" s="32">
        <f t="shared" si="1"/>
        <v>282.6</v>
      </c>
    </row>
    <row r="8">
      <c r="A8" s="31" t="s">
        <v>13</v>
      </c>
      <c r="B8" s="33">
        <f t="shared" ref="B8:S8" si="2">STDEV(B4:B6)</f>
        <v>0.5773502692</v>
      </c>
      <c r="C8" s="33">
        <f t="shared" si="2"/>
        <v>1</v>
      </c>
      <c r="D8" s="33">
        <f t="shared" si="2"/>
        <v>0.5773502692</v>
      </c>
      <c r="E8" s="33">
        <f t="shared" si="2"/>
        <v>4.792007234</v>
      </c>
      <c r="F8" s="33">
        <f t="shared" si="2"/>
        <v>0</v>
      </c>
      <c r="G8" s="33">
        <f t="shared" si="2"/>
        <v>4.792007234</v>
      </c>
      <c r="H8" s="34">
        <f t="shared" si="2"/>
        <v>0.9379232378</v>
      </c>
      <c r="I8" s="34">
        <f t="shared" si="2"/>
        <v>0.7742308011</v>
      </c>
      <c r="J8" s="34">
        <f t="shared" si="2"/>
        <v>0.3315116891</v>
      </c>
      <c r="K8" s="34">
        <f t="shared" si="2"/>
        <v>0.2886751346</v>
      </c>
      <c r="L8" s="35">
        <f t="shared" si="2"/>
        <v>0</v>
      </c>
      <c r="M8" s="35">
        <f t="shared" si="2"/>
        <v>0</v>
      </c>
      <c r="N8" s="34">
        <f t="shared" si="2"/>
        <v>1.690098616</v>
      </c>
      <c r="O8" s="34">
        <f t="shared" si="2"/>
        <v>1.824892691</v>
      </c>
      <c r="P8" s="34">
        <f t="shared" si="2"/>
        <v>1.75579042</v>
      </c>
      <c r="Q8" s="34">
        <f t="shared" si="2"/>
        <v>2.396525262</v>
      </c>
      <c r="R8" s="34">
        <f t="shared" si="2"/>
        <v>2.42693222</v>
      </c>
      <c r="S8" s="34">
        <f t="shared" si="2"/>
        <v>2.42693222</v>
      </c>
    </row>
    <row r="9">
      <c r="A9" s="36"/>
    </row>
    <row r="10">
      <c r="A10" s="18" t="s">
        <v>14</v>
      </c>
      <c r="B10" s="19"/>
      <c r="C10" s="19"/>
      <c r="D10" s="19"/>
      <c r="E10" s="20"/>
      <c r="F10" s="20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>
      <c r="A11" s="23" t="s">
        <v>15</v>
      </c>
      <c r="B11" s="37">
        <v>1643.0</v>
      </c>
      <c r="C11" s="37">
        <v>827.0</v>
      </c>
      <c r="D11" s="37">
        <v>420.0</v>
      </c>
      <c r="E11" s="38">
        <v>33.3</v>
      </c>
      <c r="F11" s="38">
        <v>33.3</v>
      </c>
      <c r="G11" s="38">
        <v>25.0</v>
      </c>
      <c r="H11" s="26">
        <v>100.62</v>
      </c>
      <c r="I11" s="26">
        <v>92.59</v>
      </c>
      <c r="J11" s="26">
        <v>88.85</v>
      </c>
      <c r="K11" s="27">
        <v>45.5</v>
      </c>
      <c r="L11" s="27">
        <v>45.5</v>
      </c>
      <c r="M11" s="27">
        <v>45.5</v>
      </c>
      <c r="N11" s="30">
        <v>101.58</v>
      </c>
      <c r="O11" s="30">
        <v>144.09</v>
      </c>
      <c r="P11" s="30">
        <v>165.52</v>
      </c>
      <c r="Q11" s="29">
        <v>282.57</v>
      </c>
      <c r="R11" s="29">
        <v>282.57</v>
      </c>
      <c r="S11" s="29">
        <v>282.57</v>
      </c>
    </row>
    <row r="12">
      <c r="A12" s="23" t="s">
        <v>16</v>
      </c>
      <c r="B12" s="37">
        <v>1638.0</v>
      </c>
      <c r="C12" s="37">
        <v>826.0</v>
      </c>
      <c r="D12" s="37">
        <v>420.0</v>
      </c>
      <c r="E12" s="38">
        <v>25.0</v>
      </c>
      <c r="F12" s="38">
        <v>33.3</v>
      </c>
      <c r="G12" s="38">
        <v>25.0</v>
      </c>
      <c r="H12" s="26">
        <v>100.64</v>
      </c>
      <c r="I12" s="26">
        <v>92.96</v>
      </c>
      <c r="J12" s="26">
        <v>89.65</v>
      </c>
      <c r="K12" s="27">
        <v>45.5</v>
      </c>
      <c r="L12" s="27">
        <v>45.5</v>
      </c>
      <c r="M12" s="27">
        <v>45.5</v>
      </c>
      <c r="N12" s="30">
        <v>101.08</v>
      </c>
      <c r="O12" s="30">
        <v>143.74</v>
      </c>
      <c r="P12" s="30">
        <v>165.2</v>
      </c>
      <c r="Q12" s="29">
        <v>282.4</v>
      </c>
      <c r="R12" s="29">
        <v>282.4</v>
      </c>
      <c r="S12" s="29">
        <v>282.4</v>
      </c>
    </row>
    <row r="13">
      <c r="A13" s="23" t="s">
        <v>17</v>
      </c>
      <c r="B13" s="37">
        <v>1638.0</v>
      </c>
      <c r="C13" s="37">
        <v>823.0</v>
      </c>
      <c r="D13" s="37">
        <v>419.0</v>
      </c>
      <c r="E13" s="38">
        <v>33.3</v>
      </c>
      <c r="F13" s="38">
        <v>33.3</v>
      </c>
      <c r="G13" s="38">
        <v>40.0</v>
      </c>
      <c r="H13" s="26">
        <v>101.34</v>
      </c>
      <c r="I13" s="26">
        <v>93.14</v>
      </c>
      <c r="J13" s="26">
        <v>88.4</v>
      </c>
      <c r="K13" s="27">
        <v>45.5</v>
      </c>
      <c r="L13" s="27">
        <v>45.5</v>
      </c>
      <c r="M13" s="27">
        <v>45.5</v>
      </c>
      <c r="N13" s="30">
        <v>97.07</v>
      </c>
      <c r="O13" s="30">
        <v>139.71</v>
      </c>
      <c r="P13" s="30">
        <v>161.63</v>
      </c>
      <c r="Q13" s="29">
        <v>286.7</v>
      </c>
      <c r="R13" s="29">
        <v>286.7</v>
      </c>
      <c r="S13" s="29">
        <v>286.7</v>
      </c>
    </row>
    <row r="14">
      <c r="A14" s="31" t="s">
        <v>12</v>
      </c>
      <c r="B14" s="32">
        <f t="shared" ref="B14:S14" si="3">MEDIAN(B11:B13)</f>
        <v>1638</v>
      </c>
      <c r="C14" s="32">
        <f t="shared" si="3"/>
        <v>826</v>
      </c>
      <c r="D14" s="32">
        <f t="shared" si="3"/>
        <v>420</v>
      </c>
      <c r="E14" s="32">
        <f t="shared" si="3"/>
        <v>33.3</v>
      </c>
      <c r="F14" s="32">
        <f t="shared" si="3"/>
        <v>33.3</v>
      </c>
      <c r="G14" s="32">
        <f t="shared" si="3"/>
        <v>25</v>
      </c>
      <c r="H14" s="32">
        <f t="shared" si="3"/>
        <v>100.64</v>
      </c>
      <c r="I14" s="32">
        <f t="shared" si="3"/>
        <v>92.96</v>
      </c>
      <c r="J14" s="32">
        <f t="shared" si="3"/>
        <v>88.85</v>
      </c>
      <c r="K14" s="32">
        <f t="shared" si="3"/>
        <v>45.5</v>
      </c>
      <c r="L14" s="32">
        <f t="shared" si="3"/>
        <v>45.5</v>
      </c>
      <c r="M14" s="32">
        <f t="shared" si="3"/>
        <v>45.5</v>
      </c>
      <c r="N14" s="32">
        <f t="shared" si="3"/>
        <v>101.08</v>
      </c>
      <c r="O14" s="32">
        <f t="shared" si="3"/>
        <v>143.74</v>
      </c>
      <c r="P14" s="32">
        <f t="shared" si="3"/>
        <v>165.2</v>
      </c>
      <c r="Q14" s="32">
        <f t="shared" si="3"/>
        <v>282.57</v>
      </c>
      <c r="R14" s="32">
        <f t="shared" si="3"/>
        <v>282.57</v>
      </c>
      <c r="S14" s="32">
        <f t="shared" si="3"/>
        <v>282.57</v>
      </c>
    </row>
    <row r="15">
      <c r="A15" s="31" t="s">
        <v>13</v>
      </c>
      <c r="B15" s="33">
        <f t="shared" ref="B15:S15" si="4">STDEV(B11:B13)</f>
        <v>2.886751346</v>
      </c>
      <c r="C15" s="33">
        <f t="shared" si="4"/>
        <v>2.081665999</v>
      </c>
      <c r="D15" s="33">
        <f t="shared" si="4"/>
        <v>0.5773502692</v>
      </c>
      <c r="E15" s="33">
        <f t="shared" si="4"/>
        <v>4.792007234</v>
      </c>
      <c r="F15" s="33">
        <f t="shared" si="4"/>
        <v>0</v>
      </c>
      <c r="G15" s="33">
        <f t="shared" si="4"/>
        <v>8.660254038</v>
      </c>
      <c r="H15" s="34">
        <f t="shared" si="4"/>
        <v>0.4100406484</v>
      </c>
      <c r="I15" s="34">
        <f t="shared" si="4"/>
        <v>0.2804163571</v>
      </c>
      <c r="J15" s="34">
        <f t="shared" si="4"/>
        <v>0.6331139971</v>
      </c>
      <c r="K15" s="35">
        <f t="shared" si="4"/>
        <v>0</v>
      </c>
      <c r="L15" s="35">
        <f t="shared" si="4"/>
        <v>0</v>
      </c>
      <c r="M15" s="35">
        <f t="shared" si="4"/>
        <v>0</v>
      </c>
      <c r="N15" s="34">
        <f t="shared" si="4"/>
        <v>2.472185268</v>
      </c>
      <c r="O15" s="34">
        <f t="shared" si="4"/>
        <v>2.43405697</v>
      </c>
      <c r="P15" s="34">
        <f t="shared" si="4"/>
        <v>2.159452091</v>
      </c>
      <c r="Q15" s="34">
        <f t="shared" si="4"/>
        <v>2.4350154</v>
      </c>
      <c r="R15" s="34">
        <f t="shared" si="4"/>
        <v>2.4350154</v>
      </c>
      <c r="S15" s="34">
        <f t="shared" si="4"/>
        <v>2.4350154</v>
      </c>
    </row>
    <row r="16">
      <c r="A16" s="36"/>
    </row>
    <row r="17">
      <c r="A17" s="18" t="s">
        <v>18</v>
      </c>
      <c r="B17" s="19"/>
      <c r="C17" s="19"/>
      <c r="D17" s="19"/>
      <c r="E17" s="20"/>
      <c r="F17" s="20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>
      <c r="A18" s="23" t="s">
        <v>19</v>
      </c>
      <c r="B18" s="37">
        <v>1632.0</v>
      </c>
      <c r="C18" s="37">
        <v>818.0</v>
      </c>
      <c r="D18" s="37">
        <v>412.0</v>
      </c>
      <c r="E18" s="38">
        <v>33.3</v>
      </c>
      <c r="F18" s="38">
        <v>33.3</v>
      </c>
      <c r="G18" s="38">
        <v>33.3</v>
      </c>
      <c r="H18" s="26">
        <v>100.65</v>
      </c>
      <c r="I18" s="26">
        <v>92.36</v>
      </c>
      <c r="J18" s="26">
        <v>88.83</v>
      </c>
      <c r="K18" s="27">
        <v>45.5</v>
      </c>
      <c r="L18" s="27">
        <v>45.5</v>
      </c>
      <c r="M18" s="27">
        <v>45.5</v>
      </c>
      <c r="N18" s="30">
        <v>184.04</v>
      </c>
      <c r="O18" s="30">
        <v>226.32</v>
      </c>
      <c r="P18" s="30">
        <v>247.45</v>
      </c>
      <c r="Q18" s="29">
        <v>323.3</v>
      </c>
      <c r="R18" s="29">
        <v>323.3</v>
      </c>
      <c r="S18" s="29">
        <v>323.3</v>
      </c>
    </row>
    <row r="19">
      <c r="A19" s="23" t="s">
        <v>20</v>
      </c>
      <c r="B19" s="37">
        <v>1632.0</v>
      </c>
      <c r="C19" s="37">
        <v>821.0</v>
      </c>
      <c r="D19" s="37">
        <v>413.0</v>
      </c>
      <c r="E19" s="38">
        <v>33.3</v>
      </c>
      <c r="F19" s="38">
        <v>33.3</v>
      </c>
      <c r="G19" s="38">
        <v>25.0</v>
      </c>
      <c r="H19" s="26">
        <v>101.64</v>
      </c>
      <c r="I19" s="26">
        <v>92.89</v>
      </c>
      <c r="J19" s="26">
        <v>88.13</v>
      </c>
      <c r="K19" s="27">
        <v>45.5</v>
      </c>
      <c r="L19" s="27">
        <v>45.5</v>
      </c>
      <c r="M19" s="27">
        <v>45.5</v>
      </c>
      <c r="N19" s="30">
        <v>183.38</v>
      </c>
      <c r="O19" s="30">
        <v>225.45</v>
      </c>
      <c r="P19" s="30">
        <v>246.77</v>
      </c>
      <c r="Q19" s="29">
        <v>282.4</v>
      </c>
      <c r="R19" s="29">
        <v>282.4</v>
      </c>
      <c r="S19" s="29">
        <v>282.4</v>
      </c>
    </row>
    <row r="20">
      <c r="A20" s="23" t="s">
        <v>21</v>
      </c>
      <c r="B20" s="37">
        <v>1624.0</v>
      </c>
      <c r="C20" s="37">
        <v>817.0</v>
      </c>
      <c r="D20" s="37">
        <v>411.0</v>
      </c>
      <c r="E20" s="38">
        <v>33.3</v>
      </c>
      <c r="F20" s="38">
        <v>33.3</v>
      </c>
      <c r="G20" s="38">
        <v>25.0</v>
      </c>
      <c r="H20" s="26">
        <v>100.44</v>
      </c>
      <c r="I20" s="26">
        <v>92.01</v>
      </c>
      <c r="J20" s="26">
        <v>88.0</v>
      </c>
      <c r="K20" s="27">
        <v>45.5</v>
      </c>
      <c r="L20" s="27">
        <v>45.5</v>
      </c>
      <c r="M20" s="27">
        <v>45.5</v>
      </c>
      <c r="N20" s="30">
        <v>179.11</v>
      </c>
      <c r="O20" s="30">
        <v>221.07</v>
      </c>
      <c r="P20" s="30">
        <v>242.47</v>
      </c>
      <c r="Q20" s="29">
        <v>286.7</v>
      </c>
      <c r="R20" s="29">
        <v>286.7</v>
      </c>
      <c r="S20" s="29">
        <v>286.7</v>
      </c>
    </row>
    <row r="21">
      <c r="A21" s="31" t="s">
        <v>12</v>
      </c>
      <c r="B21" s="32">
        <f t="shared" ref="B21:S21" si="5">MEDIAN(B18:B20)</f>
        <v>1632</v>
      </c>
      <c r="C21" s="32">
        <f t="shared" si="5"/>
        <v>818</v>
      </c>
      <c r="D21" s="32">
        <f t="shared" si="5"/>
        <v>412</v>
      </c>
      <c r="E21" s="32">
        <f t="shared" si="5"/>
        <v>33.3</v>
      </c>
      <c r="F21" s="32">
        <f t="shared" si="5"/>
        <v>33.3</v>
      </c>
      <c r="G21" s="32">
        <f t="shared" si="5"/>
        <v>25</v>
      </c>
      <c r="H21" s="32">
        <f t="shared" si="5"/>
        <v>100.65</v>
      </c>
      <c r="I21" s="32">
        <f t="shared" si="5"/>
        <v>92.36</v>
      </c>
      <c r="J21" s="32">
        <f t="shared" si="5"/>
        <v>88.13</v>
      </c>
      <c r="K21" s="32">
        <f t="shared" si="5"/>
        <v>45.5</v>
      </c>
      <c r="L21" s="32">
        <f t="shared" si="5"/>
        <v>45.5</v>
      </c>
      <c r="M21" s="32">
        <f t="shared" si="5"/>
        <v>45.5</v>
      </c>
      <c r="N21" s="32">
        <f t="shared" si="5"/>
        <v>183.38</v>
      </c>
      <c r="O21" s="32">
        <f t="shared" si="5"/>
        <v>225.45</v>
      </c>
      <c r="P21" s="32">
        <f t="shared" si="5"/>
        <v>246.77</v>
      </c>
      <c r="Q21" s="32">
        <f t="shared" si="5"/>
        <v>286.7</v>
      </c>
      <c r="R21" s="32">
        <f t="shared" si="5"/>
        <v>286.7</v>
      </c>
      <c r="S21" s="32">
        <f t="shared" si="5"/>
        <v>286.7</v>
      </c>
    </row>
    <row r="22">
      <c r="A22" s="31" t="s">
        <v>13</v>
      </c>
      <c r="B22" s="33">
        <f t="shared" ref="B22:S22" si="6">STDEV(B18:B20)</f>
        <v>4.618802154</v>
      </c>
      <c r="C22" s="33">
        <f t="shared" si="6"/>
        <v>2.081665999</v>
      </c>
      <c r="D22" s="33">
        <f t="shared" si="6"/>
        <v>1</v>
      </c>
      <c r="E22" s="33">
        <f t="shared" si="6"/>
        <v>0</v>
      </c>
      <c r="F22" s="33">
        <f t="shared" si="6"/>
        <v>0</v>
      </c>
      <c r="G22" s="33">
        <f t="shared" si="6"/>
        <v>4.792007234</v>
      </c>
      <c r="H22" s="34">
        <f t="shared" si="6"/>
        <v>0.6408587988</v>
      </c>
      <c r="I22" s="34">
        <f t="shared" si="6"/>
        <v>0.4430575583</v>
      </c>
      <c r="J22" s="34">
        <f t="shared" si="6"/>
        <v>0.4464302857</v>
      </c>
      <c r="K22" s="35">
        <f t="shared" si="6"/>
        <v>0</v>
      </c>
      <c r="L22" s="35">
        <f t="shared" si="6"/>
        <v>0</v>
      </c>
      <c r="M22" s="35">
        <f t="shared" si="6"/>
        <v>0</v>
      </c>
      <c r="N22" s="34">
        <f t="shared" si="6"/>
        <v>2.676234917</v>
      </c>
      <c r="O22" s="34">
        <f t="shared" si="6"/>
        <v>2.813769713</v>
      </c>
      <c r="P22" s="34">
        <f t="shared" si="6"/>
        <v>2.700395033</v>
      </c>
      <c r="Q22" s="34">
        <f t="shared" si="6"/>
        <v>22.47539395</v>
      </c>
      <c r="R22" s="34">
        <f t="shared" si="6"/>
        <v>22.47539395</v>
      </c>
      <c r="S22" s="34">
        <f t="shared" si="6"/>
        <v>22.47539395</v>
      </c>
    </row>
    <row r="23">
      <c r="A23" s="36"/>
    </row>
    <row r="24">
      <c r="A24" s="18" t="s">
        <v>22</v>
      </c>
      <c r="B24" s="19"/>
      <c r="C24" s="19"/>
      <c r="D24" s="19"/>
      <c r="E24" s="20"/>
      <c r="F24" s="20"/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>
      <c r="A25" s="23" t="s">
        <v>23</v>
      </c>
      <c r="B25" s="24">
        <v>1623.0</v>
      </c>
      <c r="C25" s="24">
        <v>812.0</v>
      </c>
      <c r="D25" s="24">
        <v>407.0</v>
      </c>
      <c r="E25" s="25">
        <v>25.0</v>
      </c>
      <c r="F25" s="25">
        <v>33.3</v>
      </c>
      <c r="G25" s="25">
        <v>33.3</v>
      </c>
      <c r="H25" s="26">
        <v>107.01</v>
      </c>
      <c r="I25" s="26">
        <v>97.87</v>
      </c>
      <c r="J25" s="26">
        <v>94.7</v>
      </c>
      <c r="K25" s="27">
        <v>46.5</v>
      </c>
      <c r="L25" s="27">
        <v>46.5</v>
      </c>
      <c r="M25" s="27">
        <v>46.5</v>
      </c>
      <c r="N25" s="30">
        <v>19.36</v>
      </c>
      <c r="O25" s="30">
        <v>58.85</v>
      </c>
      <c r="P25" s="30">
        <v>78.25</v>
      </c>
      <c r="Q25" s="29">
        <v>215.0</v>
      </c>
      <c r="R25" s="29">
        <v>292.3</v>
      </c>
      <c r="S25" s="29">
        <v>292.3</v>
      </c>
    </row>
    <row r="26">
      <c r="A26" s="23" t="s">
        <v>24</v>
      </c>
      <c r="B26" s="37">
        <v>1637.0</v>
      </c>
      <c r="C26" s="37">
        <v>824.0</v>
      </c>
      <c r="D26" s="37">
        <v>418.0</v>
      </c>
      <c r="E26" s="38">
        <v>33.3</v>
      </c>
      <c r="F26" s="38">
        <v>25.0</v>
      </c>
      <c r="G26" s="38">
        <v>33.3</v>
      </c>
      <c r="H26" s="26">
        <v>107.12</v>
      </c>
      <c r="I26" s="26">
        <v>97.75</v>
      </c>
      <c r="J26" s="26">
        <v>93.97</v>
      </c>
      <c r="K26" s="27">
        <v>46.5</v>
      </c>
      <c r="L26" s="27">
        <v>46.5</v>
      </c>
      <c r="M26" s="27">
        <v>46.5</v>
      </c>
      <c r="N26" s="30">
        <v>93.42</v>
      </c>
      <c r="O26" s="30">
        <v>133.72</v>
      </c>
      <c r="P26" s="30">
        <v>153.1</v>
      </c>
      <c r="Q26" s="29">
        <v>292.34</v>
      </c>
      <c r="R26" s="29">
        <v>292.38</v>
      </c>
      <c r="S26" s="29">
        <v>292.4</v>
      </c>
    </row>
    <row r="27">
      <c r="A27" s="23" t="s">
        <v>25</v>
      </c>
      <c r="B27" s="37">
        <v>1626.0</v>
      </c>
      <c r="C27" s="37">
        <v>815.0</v>
      </c>
      <c r="D27" s="37">
        <v>411.0</v>
      </c>
      <c r="E27" s="38">
        <v>33.3</v>
      </c>
      <c r="F27" s="38">
        <v>33.3</v>
      </c>
      <c r="G27" s="38">
        <v>33.3</v>
      </c>
      <c r="H27" s="26">
        <v>106.42</v>
      </c>
      <c r="I27" s="26">
        <v>98.78</v>
      </c>
      <c r="J27" s="26">
        <v>93.68</v>
      </c>
      <c r="K27" s="27">
        <v>46.5</v>
      </c>
      <c r="L27" s="27">
        <v>46.5</v>
      </c>
      <c r="M27" s="27">
        <v>46.5</v>
      </c>
      <c r="N27" s="30">
        <v>168.14</v>
      </c>
      <c r="O27" s="30">
        <v>207.25</v>
      </c>
      <c r="P27" s="30">
        <v>228.29</v>
      </c>
      <c r="Q27" s="29">
        <v>292.417</v>
      </c>
      <c r="R27" s="29">
        <v>292.454</v>
      </c>
      <c r="S27" s="29">
        <v>292.473</v>
      </c>
    </row>
    <row r="28">
      <c r="A28" s="31" t="s">
        <v>12</v>
      </c>
      <c r="B28" s="32">
        <f t="shared" ref="B28:S28" si="7">MEDIAN(B25:B27)</f>
        <v>1626</v>
      </c>
      <c r="C28" s="32">
        <f t="shared" si="7"/>
        <v>815</v>
      </c>
      <c r="D28" s="32">
        <f t="shared" si="7"/>
        <v>411</v>
      </c>
      <c r="E28" s="32">
        <f t="shared" si="7"/>
        <v>33.3</v>
      </c>
      <c r="F28" s="32">
        <f t="shared" si="7"/>
        <v>33.3</v>
      </c>
      <c r="G28" s="32">
        <f t="shared" si="7"/>
        <v>33.3</v>
      </c>
      <c r="H28" s="32">
        <f t="shared" si="7"/>
        <v>107.01</v>
      </c>
      <c r="I28" s="32">
        <f t="shared" si="7"/>
        <v>97.87</v>
      </c>
      <c r="J28" s="32">
        <f t="shared" si="7"/>
        <v>93.97</v>
      </c>
      <c r="K28" s="32">
        <f t="shared" si="7"/>
        <v>46.5</v>
      </c>
      <c r="L28" s="32">
        <f t="shared" si="7"/>
        <v>46.5</v>
      </c>
      <c r="M28" s="32">
        <f t="shared" si="7"/>
        <v>46.5</v>
      </c>
      <c r="N28" s="32">
        <f t="shared" si="7"/>
        <v>93.42</v>
      </c>
      <c r="O28" s="32">
        <f t="shared" si="7"/>
        <v>133.72</v>
      </c>
      <c r="P28" s="32">
        <f t="shared" si="7"/>
        <v>153.1</v>
      </c>
      <c r="Q28" s="32">
        <f t="shared" si="7"/>
        <v>292.34</v>
      </c>
      <c r="R28" s="32">
        <f t="shared" si="7"/>
        <v>292.38</v>
      </c>
      <c r="S28" s="32">
        <f t="shared" si="7"/>
        <v>292.4</v>
      </c>
    </row>
    <row r="29">
      <c r="A29" s="31" t="s">
        <v>13</v>
      </c>
      <c r="B29" s="33">
        <f t="shared" ref="B29:S29" si="8">STDEV(B25:B27)</f>
        <v>7.371114796</v>
      </c>
      <c r="C29" s="33">
        <f t="shared" si="8"/>
        <v>6.244997998</v>
      </c>
      <c r="D29" s="33">
        <f t="shared" si="8"/>
        <v>5.567764363</v>
      </c>
      <c r="E29" s="33">
        <f t="shared" si="8"/>
        <v>4.792007234</v>
      </c>
      <c r="F29" s="33">
        <f t="shared" si="8"/>
        <v>4.792007234</v>
      </c>
      <c r="G29" s="33">
        <f t="shared" si="8"/>
        <v>0</v>
      </c>
      <c r="H29" s="34">
        <f t="shared" si="8"/>
        <v>0.3764306045</v>
      </c>
      <c r="I29" s="34">
        <f t="shared" si="8"/>
        <v>0.5632347054</v>
      </c>
      <c r="J29" s="34">
        <f t="shared" si="8"/>
        <v>0.5255790458</v>
      </c>
      <c r="K29" s="35">
        <f t="shared" si="8"/>
        <v>0</v>
      </c>
      <c r="L29" s="35">
        <f t="shared" si="8"/>
        <v>0</v>
      </c>
      <c r="M29" s="35">
        <f t="shared" si="8"/>
        <v>0</v>
      </c>
      <c r="N29" s="34">
        <f t="shared" si="8"/>
        <v>74.39024398</v>
      </c>
      <c r="O29" s="34">
        <f t="shared" si="8"/>
        <v>74.2010083</v>
      </c>
      <c r="P29" s="34">
        <f t="shared" si="8"/>
        <v>75.02006421</v>
      </c>
      <c r="Q29" s="34">
        <f t="shared" si="8"/>
        <v>44.67451439</v>
      </c>
      <c r="R29" s="34">
        <f t="shared" si="8"/>
        <v>0.07701947806</v>
      </c>
      <c r="S29" s="34">
        <f t="shared" si="8"/>
        <v>0.08685044617</v>
      </c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Q30" s="36"/>
      <c r="R30" s="36"/>
      <c r="S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Q31" s="36"/>
      <c r="R31" s="36"/>
      <c r="S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Q32" s="36"/>
      <c r="R32" s="36"/>
      <c r="S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Q33" s="36"/>
      <c r="R33" s="36"/>
      <c r="S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Q34" s="36"/>
      <c r="R34" s="36"/>
      <c r="S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Q35" s="36"/>
      <c r="R35" s="36"/>
      <c r="S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Q36" s="36"/>
      <c r="R36" s="36"/>
      <c r="S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Q37" s="36"/>
      <c r="R37" s="36"/>
      <c r="S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Q38" s="36"/>
      <c r="R38" s="36"/>
      <c r="S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Q39" s="36"/>
      <c r="R39" s="36"/>
      <c r="S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Q40" s="36"/>
      <c r="R40" s="36"/>
      <c r="S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Q41" s="36"/>
      <c r="R41" s="36"/>
      <c r="S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Q42" s="36"/>
      <c r="R42" s="36"/>
      <c r="S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Q43" s="36"/>
      <c r="R43" s="36"/>
      <c r="S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Q44" s="36"/>
      <c r="R44" s="36"/>
      <c r="S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Q45" s="36"/>
      <c r="R45" s="36"/>
      <c r="S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Q46" s="36"/>
      <c r="R46" s="36"/>
      <c r="S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Q47" s="36"/>
      <c r="R47" s="36"/>
      <c r="S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Q48" s="36"/>
      <c r="R48" s="36"/>
      <c r="S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Q49" s="36"/>
      <c r="R49" s="36"/>
      <c r="S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Q50" s="36"/>
      <c r="R50" s="36"/>
      <c r="S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Q51" s="36"/>
      <c r="R51" s="36"/>
      <c r="S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Q52" s="36"/>
      <c r="R52" s="36"/>
      <c r="S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Q53" s="36"/>
      <c r="R53" s="36"/>
      <c r="S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Q54" s="36"/>
      <c r="R54" s="36"/>
      <c r="S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Q55" s="36"/>
      <c r="R55" s="36"/>
      <c r="S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Q56" s="36"/>
      <c r="R56" s="36"/>
      <c r="S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Q57" s="36"/>
      <c r="R57" s="36"/>
      <c r="S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Q58" s="36"/>
      <c r="R58" s="36"/>
      <c r="S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Q59" s="36"/>
      <c r="R59" s="36"/>
      <c r="S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Q60" s="36"/>
      <c r="R60" s="36"/>
      <c r="S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Q61" s="36"/>
      <c r="R61" s="36"/>
      <c r="S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Q62" s="36"/>
      <c r="R62" s="36"/>
      <c r="S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Q63" s="36"/>
      <c r="R63" s="36"/>
      <c r="S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Q64" s="36"/>
      <c r="R64" s="36"/>
      <c r="S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Q65" s="36"/>
      <c r="R65" s="36"/>
      <c r="S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Q66" s="36"/>
      <c r="R66" s="36"/>
      <c r="S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Q67" s="36"/>
      <c r="R67" s="36"/>
      <c r="S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Q68" s="36"/>
      <c r="R68" s="36"/>
      <c r="S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Q69" s="36"/>
      <c r="R69" s="36"/>
      <c r="S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Q70" s="36"/>
      <c r="R70" s="36"/>
      <c r="S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Q71" s="36"/>
      <c r="R71" s="36"/>
      <c r="S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Q72" s="36"/>
      <c r="R72" s="36"/>
      <c r="S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Q73" s="36"/>
      <c r="R73" s="36"/>
      <c r="S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Q74" s="36"/>
      <c r="R74" s="36"/>
      <c r="S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Q75" s="36"/>
      <c r="R75" s="36"/>
      <c r="S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Q76" s="36"/>
      <c r="R76" s="36"/>
      <c r="S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Q77" s="36"/>
      <c r="R77" s="36"/>
      <c r="S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Q78" s="36"/>
      <c r="R78" s="36"/>
      <c r="S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Q79" s="36"/>
      <c r="R79" s="36"/>
      <c r="S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Q80" s="36"/>
      <c r="R80" s="36"/>
      <c r="S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Q81" s="36"/>
      <c r="R81" s="36"/>
      <c r="S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Q82" s="36"/>
      <c r="R82" s="36"/>
      <c r="S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Q83" s="36"/>
      <c r="R83" s="36"/>
      <c r="S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Q84" s="36"/>
      <c r="R84" s="36"/>
      <c r="S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Q85" s="36"/>
      <c r="R85" s="36"/>
      <c r="S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Q86" s="36"/>
      <c r="R86" s="36"/>
      <c r="S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Q87" s="36"/>
      <c r="R87" s="36"/>
      <c r="S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Q88" s="36"/>
      <c r="R88" s="36"/>
      <c r="S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Q89" s="36"/>
      <c r="R89" s="36"/>
      <c r="S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Q90" s="36"/>
      <c r="R90" s="36"/>
      <c r="S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Q91" s="36"/>
      <c r="R91" s="36"/>
      <c r="S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Q92" s="36"/>
      <c r="R92" s="36"/>
      <c r="S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Q93" s="36"/>
      <c r="R93" s="36"/>
      <c r="S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Q94" s="36"/>
      <c r="R94" s="36"/>
      <c r="S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Q95" s="36"/>
      <c r="R95" s="36"/>
      <c r="S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Q96" s="36"/>
      <c r="R96" s="36"/>
      <c r="S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Q97" s="36"/>
      <c r="R97" s="36"/>
      <c r="S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Q98" s="36"/>
      <c r="R98" s="36"/>
      <c r="S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Q99" s="36"/>
      <c r="R99" s="36"/>
      <c r="S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Q100" s="36"/>
      <c r="R100" s="36"/>
      <c r="S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Q101" s="36"/>
      <c r="R101" s="36"/>
      <c r="S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Q102" s="36"/>
      <c r="R102" s="36"/>
      <c r="S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Q103" s="36"/>
      <c r="R103" s="36"/>
      <c r="S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Q104" s="36"/>
      <c r="R104" s="36"/>
      <c r="S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Q105" s="36"/>
      <c r="R105" s="36"/>
      <c r="S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Q106" s="36"/>
      <c r="R106" s="36"/>
      <c r="S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Q107" s="36"/>
      <c r="R107" s="36"/>
      <c r="S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Q108" s="36"/>
      <c r="R108" s="36"/>
      <c r="S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Q109" s="36"/>
      <c r="R109" s="36"/>
      <c r="S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Q110" s="36"/>
      <c r="R110" s="36"/>
      <c r="S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Q111" s="36"/>
      <c r="R111" s="36"/>
      <c r="S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Q112" s="36"/>
      <c r="R112" s="36"/>
      <c r="S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Q113" s="36"/>
      <c r="R113" s="36"/>
      <c r="S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Q114" s="36"/>
      <c r="R114" s="36"/>
      <c r="S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Q115" s="36"/>
      <c r="R115" s="36"/>
      <c r="S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Q116" s="36"/>
      <c r="R116" s="36"/>
      <c r="S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Q117" s="36"/>
      <c r="R117" s="36"/>
      <c r="S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Q118" s="36"/>
      <c r="R118" s="36"/>
      <c r="S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Q119" s="36"/>
      <c r="R119" s="36"/>
      <c r="S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Q120" s="36"/>
      <c r="R120" s="36"/>
      <c r="S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Q121" s="36"/>
      <c r="R121" s="36"/>
      <c r="S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Q122" s="36"/>
      <c r="R122" s="36"/>
      <c r="S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Q123" s="36"/>
      <c r="R123" s="36"/>
      <c r="S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Q124" s="36"/>
      <c r="R124" s="36"/>
      <c r="S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Q125" s="36"/>
      <c r="R125" s="36"/>
      <c r="S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Q126" s="36"/>
      <c r="R126" s="36"/>
      <c r="S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Q127" s="36"/>
      <c r="R127" s="36"/>
      <c r="S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Q128" s="36"/>
      <c r="R128" s="36"/>
      <c r="S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Q129" s="36"/>
      <c r="R129" s="36"/>
      <c r="S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Q130" s="36"/>
      <c r="R130" s="36"/>
      <c r="S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Q131" s="36"/>
      <c r="R131" s="36"/>
      <c r="S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Q132" s="36"/>
      <c r="R132" s="36"/>
      <c r="S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Q133" s="36"/>
      <c r="R133" s="36"/>
      <c r="S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Q134" s="36"/>
      <c r="R134" s="36"/>
      <c r="S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Q135" s="36"/>
      <c r="R135" s="36"/>
      <c r="S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Q136" s="36"/>
      <c r="R136" s="36"/>
      <c r="S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Q137" s="36"/>
      <c r="R137" s="36"/>
      <c r="S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Q138" s="36"/>
      <c r="R138" s="36"/>
      <c r="S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Q139" s="36"/>
      <c r="R139" s="36"/>
      <c r="S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Q140" s="36"/>
      <c r="R140" s="36"/>
      <c r="S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Q141" s="36"/>
      <c r="R141" s="36"/>
      <c r="S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Q142" s="36"/>
      <c r="R142" s="36"/>
      <c r="S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Q143" s="36"/>
      <c r="R143" s="36"/>
      <c r="S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Q144" s="36"/>
      <c r="R144" s="36"/>
      <c r="S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Q145" s="36"/>
      <c r="R145" s="36"/>
      <c r="S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Q146" s="36"/>
      <c r="R146" s="36"/>
      <c r="S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Q147" s="36"/>
      <c r="R147" s="36"/>
      <c r="S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Q148" s="36"/>
      <c r="R148" s="36"/>
      <c r="S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Q149" s="36"/>
      <c r="R149" s="36"/>
      <c r="S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Q150" s="36"/>
      <c r="R150" s="36"/>
      <c r="S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Q151" s="36"/>
      <c r="R151" s="36"/>
      <c r="S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Q152" s="36"/>
      <c r="R152" s="36"/>
      <c r="S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Q153" s="36"/>
      <c r="R153" s="36"/>
      <c r="S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Q154" s="36"/>
      <c r="R154" s="36"/>
      <c r="S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Q155" s="36"/>
      <c r="R155" s="36"/>
      <c r="S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Q156" s="36"/>
      <c r="R156" s="36"/>
      <c r="S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Q157" s="36"/>
      <c r="R157" s="36"/>
      <c r="S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Q158" s="36"/>
      <c r="R158" s="36"/>
      <c r="S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Q159" s="36"/>
      <c r="R159" s="36"/>
      <c r="S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Q160" s="36"/>
      <c r="R160" s="36"/>
      <c r="S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Q161" s="36"/>
      <c r="R161" s="36"/>
      <c r="S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Q162" s="36"/>
      <c r="R162" s="36"/>
      <c r="S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Q163" s="36"/>
      <c r="R163" s="36"/>
      <c r="S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Q164" s="36"/>
      <c r="R164" s="36"/>
      <c r="S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Q165" s="36"/>
      <c r="R165" s="36"/>
      <c r="S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Q166" s="36"/>
      <c r="R166" s="36"/>
      <c r="S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Q167" s="36"/>
      <c r="R167" s="36"/>
      <c r="S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Q168" s="36"/>
      <c r="R168" s="36"/>
      <c r="S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Q169" s="36"/>
      <c r="R169" s="36"/>
      <c r="S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Q170" s="36"/>
      <c r="R170" s="36"/>
      <c r="S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Q171" s="36"/>
      <c r="R171" s="36"/>
      <c r="S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Q172" s="36"/>
      <c r="R172" s="36"/>
      <c r="S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Q173" s="36"/>
      <c r="R173" s="36"/>
      <c r="S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Q174" s="36"/>
      <c r="R174" s="36"/>
      <c r="S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Q175" s="36"/>
      <c r="R175" s="36"/>
      <c r="S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Q176" s="36"/>
      <c r="R176" s="36"/>
      <c r="S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Q177" s="36"/>
      <c r="R177" s="36"/>
      <c r="S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Q178" s="36"/>
      <c r="R178" s="36"/>
      <c r="S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Q179" s="36"/>
      <c r="R179" s="36"/>
      <c r="S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Q180" s="36"/>
      <c r="R180" s="36"/>
      <c r="S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Q181" s="36"/>
      <c r="R181" s="36"/>
      <c r="S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Q182" s="36"/>
      <c r="R182" s="36"/>
      <c r="S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Q183" s="36"/>
      <c r="R183" s="36"/>
      <c r="S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Q184" s="36"/>
      <c r="R184" s="36"/>
      <c r="S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Q185" s="36"/>
      <c r="R185" s="36"/>
      <c r="S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Q186" s="36"/>
      <c r="R186" s="36"/>
      <c r="S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Q187" s="36"/>
      <c r="R187" s="36"/>
      <c r="S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Q188" s="36"/>
      <c r="R188" s="36"/>
      <c r="S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Q189" s="36"/>
      <c r="R189" s="36"/>
      <c r="S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Q190" s="36"/>
      <c r="R190" s="36"/>
      <c r="S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Q191" s="36"/>
      <c r="R191" s="36"/>
      <c r="S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Q192" s="36"/>
      <c r="R192" s="36"/>
      <c r="S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Q193" s="36"/>
      <c r="R193" s="36"/>
      <c r="S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Q194" s="36"/>
      <c r="R194" s="36"/>
      <c r="S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Q195" s="36"/>
      <c r="R195" s="36"/>
      <c r="S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Q196" s="36"/>
      <c r="R196" s="36"/>
      <c r="S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Q197" s="36"/>
      <c r="R197" s="36"/>
      <c r="S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Q198" s="36"/>
      <c r="R198" s="36"/>
      <c r="S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Q199" s="36"/>
      <c r="R199" s="36"/>
      <c r="S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Q200" s="36"/>
      <c r="R200" s="36"/>
      <c r="S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Q201" s="36"/>
      <c r="R201" s="36"/>
      <c r="S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Q202" s="36"/>
      <c r="R202" s="36"/>
      <c r="S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Q203" s="36"/>
      <c r="R203" s="36"/>
      <c r="S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Q204" s="36"/>
      <c r="R204" s="36"/>
      <c r="S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Q205" s="36"/>
      <c r="R205" s="36"/>
      <c r="S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Q206" s="36"/>
      <c r="R206" s="36"/>
      <c r="S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Q207" s="36"/>
      <c r="R207" s="36"/>
      <c r="S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Q208" s="36"/>
      <c r="R208" s="36"/>
      <c r="S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Q209" s="36"/>
      <c r="R209" s="36"/>
      <c r="S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Q210" s="36"/>
      <c r="R210" s="36"/>
      <c r="S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Q211" s="36"/>
      <c r="R211" s="36"/>
      <c r="S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Q212" s="36"/>
      <c r="R212" s="36"/>
      <c r="S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Q213" s="36"/>
      <c r="R213" s="36"/>
      <c r="S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Q214" s="36"/>
      <c r="R214" s="36"/>
      <c r="S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Q215" s="36"/>
      <c r="R215" s="36"/>
      <c r="S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Q216" s="36"/>
      <c r="R216" s="36"/>
      <c r="S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Q217" s="36"/>
      <c r="R217" s="36"/>
      <c r="S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Q218" s="36"/>
      <c r="R218" s="36"/>
      <c r="S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Q219" s="36"/>
      <c r="R219" s="36"/>
      <c r="S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Q220" s="36"/>
      <c r="R220" s="36"/>
      <c r="S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Q221" s="36"/>
      <c r="R221" s="36"/>
      <c r="S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Q222" s="36"/>
      <c r="R222" s="36"/>
      <c r="S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Q223" s="36"/>
      <c r="R223" s="36"/>
      <c r="S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Q224" s="36"/>
      <c r="R224" s="36"/>
      <c r="S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Q225" s="36"/>
      <c r="R225" s="36"/>
      <c r="S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Q226" s="36"/>
      <c r="R226" s="36"/>
      <c r="S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Q227" s="36"/>
      <c r="R227" s="36"/>
      <c r="S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Q228" s="36"/>
      <c r="R228" s="36"/>
      <c r="S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Q229" s="36"/>
      <c r="R229" s="36"/>
      <c r="S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Q230" s="36"/>
      <c r="R230" s="36"/>
      <c r="S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Q231" s="36"/>
      <c r="R231" s="36"/>
      <c r="S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Q232" s="36"/>
      <c r="R232" s="36"/>
      <c r="S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Q233" s="36"/>
      <c r="R233" s="36"/>
      <c r="S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Q234" s="36"/>
      <c r="R234" s="36"/>
      <c r="S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Q235" s="36"/>
      <c r="R235" s="36"/>
      <c r="S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Q236" s="36"/>
      <c r="R236" s="36"/>
      <c r="S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Q237" s="36"/>
      <c r="R237" s="36"/>
      <c r="S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Q238" s="36"/>
      <c r="R238" s="36"/>
      <c r="S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Q239" s="36"/>
      <c r="R239" s="36"/>
      <c r="S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Q240" s="36"/>
      <c r="R240" s="36"/>
      <c r="S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Q241" s="36"/>
      <c r="R241" s="36"/>
      <c r="S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Q242" s="36"/>
      <c r="R242" s="36"/>
      <c r="S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Q243" s="36"/>
      <c r="R243" s="36"/>
      <c r="S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Q244" s="36"/>
      <c r="R244" s="36"/>
      <c r="S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Q245" s="36"/>
      <c r="R245" s="36"/>
      <c r="S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Q246" s="36"/>
      <c r="R246" s="36"/>
      <c r="S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Q247" s="36"/>
      <c r="R247" s="36"/>
      <c r="S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Q248" s="36"/>
      <c r="R248" s="36"/>
      <c r="S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Q249" s="36"/>
      <c r="R249" s="36"/>
      <c r="S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Q250" s="36"/>
      <c r="R250" s="36"/>
      <c r="S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Q251" s="36"/>
      <c r="R251" s="36"/>
      <c r="S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Q252" s="36"/>
      <c r="R252" s="36"/>
      <c r="S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Q253" s="36"/>
      <c r="R253" s="36"/>
      <c r="S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Q254" s="36"/>
      <c r="R254" s="36"/>
      <c r="S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Q255" s="36"/>
      <c r="R255" s="36"/>
      <c r="S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Q256" s="36"/>
      <c r="R256" s="36"/>
      <c r="S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Q257" s="36"/>
      <c r="R257" s="36"/>
      <c r="S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Q258" s="36"/>
      <c r="R258" s="36"/>
      <c r="S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Q259" s="36"/>
      <c r="R259" s="36"/>
      <c r="S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Q260" s="36"/>
      <c r="R260" s="36"/>
      <c r="S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Q261" s="36"/>
      <c r="R261" s="36"/>
      <c r="S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Q262" s="36"/>
      <c r="R262" s="36"/>
      <c r="S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Q263" s="36"/>
      <c r="R263" s="36"/>
      <c r="S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Q264" s="36"/>
      <c r="R264" s="36"/>
      <c r="S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Q265" s="36"/>
      <c r="R265" s="36"/>
      <c r="S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Q266" s="36"/>
      <c r="R266" s="36"/>
      <c r="S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Q267" s="36"/>
      <c r="R267" s="36"/>
      <c r="S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Q268" s="36"/>
      <c r="R268" s="36"/>
      <c r="S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Q269" s="36"/>
      <c r="R269" s="36"/>
      <c r="S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Q270" s="36"/>
      <c r="R270" s="36"/>
      <c r="S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Q271" s="36"/>
      <c r="R271" s="36"/>
      <c r="S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Q272" s="36"/>
      <c r="R272" s="36"/>
      <c r="S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Q273" s="36"/>
      <c r="R273" s="36"/>
      <c r="S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Q274" s="36"/>
      <c r="R274" s="36"/>
      <c r="S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Q275" s="36"/>
      <c r="R275" s="36"/>
      <c r="S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Q276" s="36"/>
      <c r="R276" s="36"/>
      <c r="S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Q277" s="36"/>
      <c r="R277" s="36"/>
      <c r="S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Q278" s="36"/>
      <c r="R278" s="36"/>
      <c r="S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Q279" s="36"/>
      <c r="R279" s="36"/>
      <c r="S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Q280" s="36"/>
      <c r="R280" s="36"/>
      <c r="S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Q281" s="36"/>
      <c r="R281" s="36"/>
      <c r="S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Q282" s="36"/>
      <c r="R282" s="36"/>
      <c r="S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Q283" s="36"/>
      <c r="R283" s="36"/>
      <c r="S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Q284" s="36"/>
      <c r="R284" s="36"/>
      <c r="S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Q285" s="36"/>
      <c r="R285" s="36"/>
      <c r="S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Q286" s="36"/>
      <c r="R286" s="36"/>
      <c r="S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Q287" s="36"/>
      <c r="R287" s="36"/>
      <c r="S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Q288" s="36"/>
      <c r="R288" s="36"/>
      <c r="S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Q289" s="36"/>
      <c r="R289" s="36"/>
      <c r="S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Q290" s="36"/>
      <c r="R290" s="36"/>
      <c r="S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Q291" s="36"/>
      <c r="R291" s="36"/>
      <c r="S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Q292" s="36"/>
      <c r="R292" s="36"/>
      <c r="S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Q293" s="36"/>
      <c r="R293" s="36"/>
      <c r="S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Q294" s="36"/>
      <c r="R294" s="36"/>
      <c r="S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Q295" s="36"/>
      <c r="R295" s="36"/>
      <c r="S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Q296" s="36"/>
      <c r="R296" s="36"/>
      <c r="S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Q297" s="36"/>
      <c r="R297" s="36"/>
      <c r="S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Q298" s="36"/>
      <c r="R298" s="36"/>
      <c r="S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Q299" s="36"/>
      <c r="R299" s="36"/>
      <c r="S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Q300" s="36"/>
      <c r="R300" s="36"/>
      <c r="S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Q301" s="36"/>
      <c r="R301" s="36"/>
      <c r="S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Q302" s="36"/>
      <c r="R302" s="36"/>
      <c r="S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Q303" s="36"/>
      <c r="R303" s="36"/>
      <c r="S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Q304" s="36"/>
      <c r="R304" s="36"/>
      <c r="S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Q305" s="36"/>
      <c r="R305" s="36"/>
      <c r="S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Q306" s="36"/>
      <c r="R306" s="36"/>
      <c r="S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Q307" s="36"/>
      <c r="R307" s="36"/>
      <c r="S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Q308" s="36"/>
      <c r="R308" s="36"/>
      <c r="S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Q309" s="36"/>
      <c r="R309" s="36"/>
      <c r="S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Q310" s="36"/>
      <c r="R310" s="36"/>
      <c r="S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Q311" s="36"/>
      <c r="R311" s="36"/>
      <c r="S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Q312" s="36"/>
      <c r="R312" s="36"/>
      <c r="S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Q313" s="36"/>
      <c r="R313" s="36"/>
      <c r="S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Q314" s="36"/>
      <c r="R314" s="36"/>
      <c r="S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Q315" s="36"/>
      <c r="R315" s="36"/>
      <c r="S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Q316" s="36"/>
      <c r="R316" s="36"/>
      <c r="S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Q317" s="36"/>
      <c r="R317" s="36"/>
      <c r="S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Q318" s="36"/>
      <c r="R318" s="36"/>
      <c r="S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Q319" s="36"/>
      <c r="R319" s="36"/>
      <c r="S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Q320" s="36"/>
      <c r="R320" s="36"/>
      <c r="S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Q321" s="36"/>
      <c r="R321" s="36"/>
      <c r="S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Q322" s="36"/>
      <c r="R322" s="36"/>
      <c r="S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Q323" s="36"/>
      <c r="R323" s="36"/>
      <c r="S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Q324" s="36"/>
      <c r="R324" s="36"/>
      <c r="S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Q325" s="36"/>
      <c r="R325" s="36"/>
      <c r="S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Q326" s="36"/>
      <c r="R326" s="36"/>
      <c r="S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Q327" s="36"/>
      <c r="R327" s="36"/>
      <c r="S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Q328" s="36"/>
      <c r="R328" s="36"/>
      <c r="S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Q329" s="36"/>
      <c r="R329" s="36"/>
      <c r="S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Q330" s="36"/>
      <c r="R330" s="36"/>
      <c r="S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Q331" s="36"/>
      <c r="R331" s="36"/>
      <c r="S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Q332" s="36"/>
      <c r="R332" s="36"/>
      <c r="S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Q333" s="36"/>
      <c r="R333" s="36"/>
      <c r="S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Q334" s="36"/>
      <c r="R334" s="36"/>
      <c r="S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Q335" s="36"/>
      <c r="R335" s="36"/>
      <c r="S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Q336" s="36"/>
      <c r="R336" s="36"/>
      <c r="S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Q337" s="36"/>
      <c r="R337" s="36"/>
      <c r="S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Q338" s="36"/>
      <c r="R338" s="36"/>
      <c r="S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Q339" s="36"/>
      <c r="R339" s="36"/>
      <c r="S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Q340" s="36"/>
      <c r="R340" s="36"/>
      <c r="S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Q341" s="36"/>
      <c r="R341" s="36"/>
      <c r="S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Q342" s="36"/>
      <c r="R342" s="36"/>
      <c r="S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Q343" s="36"/>
      <c r="R343" s="36"/>
      <c r="S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Q344" s="36"/>
      <c r="R344" s="36"/>
      <c r="S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Q345" s="36"/>
      <c r="R345" s="36"/>
      <c r="S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Q346" s="36"/>
      <c r="R346" s="36"/>
      <c r="S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Q347" s="36"/>
      <c r="R347" s="36"/>
      <c r="S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Q348" s="36"/>
      <c r="R348" s="36"/>
      <c r="S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Q349" s="36"/>
      <c r="R349" s="36"/>
      <c r="S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Q350" s="36"/>
      <c r="R350" s="36"/>
      <c r="S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Q351" s="36"/>
      <c r="R351" s="36"/>
      <c r="S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Q352" s="36"/>
      <c r="R352" s="36"/>
      <c r="S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Q353" s="36"/>
      <c r="R353" s="36"/>
      <c r="S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Q354" s="36"/>
      <c r="R354" s="36"/>
      <c r="S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Q355" s="36"/>
      <c r="R355" s="36"/>
      <c r="S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Q356" s="36"/>
      <c r="R356" s="36"/>
      <c r="S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Q357" s="36"/>
      <c r="R357" s="36"/>
      <c r="S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Q358" s="36"/>
      <c r="R358" s="36"/>
      <c r="S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Q359" s="36"/>
      <c r="R359" s="36"/>
      <c r="S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Q360" s="36"/>
      <c r="R360" s="36"/>
      <c r="S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Q361" s="36"/>
      <c r="R361" s="36"/>
      <c r="S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Q362" s="36"/>
      <c r="R362" s="36"/>
      <c r="S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Q363" s="36"/>
      <c r="R363" s="36"/>
      <c r="S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Q364" s="36"/>
      <c r="R364" s="36"/>
      <c r="S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Q365" s="36"/>
      <c r="R365" s="36"/>
      <c r="S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Q366" s="36"/>
      <c r="R366" s="36"/>
      <c r="S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Q367" s="36"/>
      <c r="R367" s="36"/>
      <c r="S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Q368" s="36"/>
      <c r="R368" s="36"/>
      <c r="S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Q369" s="36"/>
      <c r="R369" s="36"/>
      <c r="S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Q370" s="36"/>
      <c r="R370" s="36"/>
      <c r="S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Q371" s="36"/>
      <c r="R371" s="36"/>
      <c r="S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Q372" s="36"/>
      <c r="R372" s="36"/>
      <c r="S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Q373" s="36"/>
      <c r="R373" s="36"/>
      <c r="S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Q374" s="36"/>
      <c r="R374" s="36"/>
      <c r="S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Q375" s="36"/>
      <c r="R375" s="36"/>
      <c r="S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Q376" s="36"/>
      <c r="R376" s="36"/>
      <c r="S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Q377" s="36"/>
      <c r="R377" s="36"/>
      <c r="S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Q378" s="36"/>
      <c r="R378" s="36"/>
      <c r="S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Q379" s="36"/>
      <c r="R379" s="36"/>
      <c r="S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Q380" s="36"/>
      <c r="R380" s="36"/>
      <c r="S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Q381" s="36"/>
      <c r="R381" s="36"/>
      <c r="S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Q382" s="36"/>
      <c r="R382" s="36"/>
      <c r="S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Q383" s="36"/>
      <c r="R383" s="36"/>
      <c r="S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Q384" s="36"/>
      <c r="R384" s="36"/>
      <c r="S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Q385" s="36"/>
      <c r="R385" s="36"/>
      <c r="S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Q386" s="36"/>
      <c r="R386" s="36"/>
      <c r="S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Q387" s="36"/>
      <c r="R387" s="36"/>
      <c r="S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Q388" s="36"/>
      <c r="R388" s="36"/>
      <c r="S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Q389" s="36"/>
      <c r="R389" s="36"/>
      <c r="S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Q390" s="36"/>
      <c r="R390" s="36"/>
      <c r="S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Q391" s="36"/>
      <c r="R391" s="36"/>
      <c r="S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Q392" s="36"/>
      <c r="R392" s="36"/>
      <c r="S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Q393" s="36"/>
      <c r="R393" s="36"/>
      <c r="S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Q394" s="36"/>
      <c r="R394" s="36"/>
      <c r="S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Q395" s="36"/>
      <c r="R395" s="36"/>
      <c r="S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Q396" s="36"/>
      <c r="R396" s="36"/>
      <c r="S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Q397" s="36"/>
      <c r="R397" s="36"/>
      <c r="S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Q398" s="36"/>
      <c r="R398" s="36"/>
      <c r="S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Q399" s="36"/>
      <c r="R399" s="36"/>
      <c r="S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Q400" s="36"/>
      <c r="R400" s="36"/>
      <c r="S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Q401" s="36"/>
      <c r="R401" s="36"/>
      <c r="S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Q402" s="36"/>
      <c r="R402" s="36"/>
      <c r="S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Q403" s="36"/>
      <c r="R403" s="36"/>
      <c r="S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Q404" s="36"/>
      <c r="R404" s="36"/>
      <c r="S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Q405" s="36"/>
      <c r="R405" s="36"/>
      <c r="S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Q406" s="36"/>
      <c r="R406" s="36"/>
      <c r="S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Q407" s="36"/>
      <c r="R407" s="36"/>
      <c r="S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Q408" s="36"/>
      <c r="R408" s="36"/>
      <c r="S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Q409" s="36"/>
      <c r="R409" s="36"/>
      <c r="S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Q410" s="36"/>
      <c r="R410" s="36"/>
      <c r="S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Q411" s="36"/>
      <c r="R411" s="36"/>
      <c r="S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Q412" s="36"/>
      <c r="R412" s="36"/>
      <c r="S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Q413" s="36"/>
      <c r="R413" s="36"/>
      <c r="S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Q414" s="36"/>
      <c r="R414" s="36"/>
      <c r="S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Q415" s="36"/>
      <c r="R415" s="36"/>
      <c r="S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Q416" s="36"/>
      <c r="R416" s="36"/>
      <c r="S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Q417" s="36"/>
      <c r="R417" s="36"/>
      <c r="S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Q418" s="36"/>
      <c r="R418" s="36"/>
      <c r="S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Q419" s="36"/>
      <c r="R419" s="36"/>
      <c r="S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Q420" s="36"/>
      <c r="R420" s="36"/>
      <c r="S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Q421" s="36"/>
      <c r="R421" s="36"/>
      <c r="S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Q422" s="36"/>
      <c r="R422" s="36"/>
      <c r="S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Q423" s="36"/>
      <c r="R423" s="36"/>
      <c r="S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Q424" s="36"/>
      <c r="R424" s="36"/>
      <c r="S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Q425" s="36"/>
      <c r="R425" s="36"/>
      <c r="S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Q426" s="36"/>
      <c r="R426" s="36"/>
      <c r="S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Q427" s="36"/>
      <c r="R427" s="36"/>
      <c r="S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Q428" s="36"/>
      <c r="R428" s="36"/>
      <c r="S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Q429" s="36"/>
      <c r="R429" s="36"/>
      <c r="S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Q430" s="36"/>
      <c r="R430" s="36"/>
      <c r="S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Q431" s="36"/>
      <c r="R431" s="36"/>
      <c r="S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Q432" s="36"/>
      <c r="R432" s="36"/>
      <c r="S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Q433" s="36"/>
      <c r="R433" s="36"/>
      <c r="S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Q434" s="36"/>
      <c r="R434" s="36"/>
      <c r="S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Q435" s="36"/>
      <c r="R435" s="36"/>
      <c r="S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Q436" s="36"/>
      <c r="R436" s="36"/>
      <c r="S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Q437" s="36"/>
      <c r="R437" s="36"/>
      <c r="S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Q438" s="36"/>
      <c r="R438" s="36"/>
      <c r="S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Q439" s="36"/>
      <c r="R439" s="36"/>
      <c r="S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Q440" s="36"/>
      <c r="R440" s="36"/>
      <c r="S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Q441" s="36"/>
      <c r="R441" s="36"/>
      <c r="S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Q442" s="36"/>
      <c r="R442" s="36"/>
      <c r="S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Q443" s="36"/>
      <c r="R443" s="36"/>
      <c r="S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Q444" s="36"/>
      <c r="R444" s="36"/>
      <c r="S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Q445" s="36"/>
      <c r="R445" s="36"/>
      <c r="S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Q446" s="36"/>
      <c r="R446" s="36"/>
      <c r="S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Q447" s="36"/>
      <c r="R447" s="36"/>
      <c r="S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Q448" s="36"/>
      <c r="R448" s="36"/>
      <c r="S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Q449" s="36"/>
      <c r="R449" s="36"/>
      <c r="S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Q450" s="36"/>
      <c r="R450" s="36"/>
      <c r="S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Q451" s="36"/>
      <c r="R451" s="36"/>
      <c r="S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Q452" s="36"/>
      <c r="R452" s="36"/>
      <c r="S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Q453" s="36"/>
      <c r="R453" s="36"/>
      <c r="S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Q454" s="36"/>
      <c r="R454" s="36"/>
      <c r="S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Q455" s="36"/>
      <c r="R455" s="36"/>
      <c r="S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Q456" s="36"/>
      <c r="R456" s="36"/>
      <c r="S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Q457" s="36"/>
      <c r="R457" s="36"/>
      <c r="S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Q458" s="36"/>
      <c r="R458" s="36"/>
      <c r="S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Q459" s="36"/>
      <c r="R459" s="36"/>
      <c r="S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Q460" s="36"/>
      <c r="R460" s="36"/>
      <c r="S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Q461" s="36"/>
      <c r="R461" s="36"/>
      <c r="S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Q462" s="36"/>
      <c r="R462" s="36"/>
      <c r="S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Q463" s="36"/>
      <c r="R463" s="36"/>
      <c r="S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Q464" s="36"/>
      <c r="R464" s="36"/>
      <c r="S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Q465" s="36"/>
      <c r="R465" s="36"/>
      <c r="S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Q466" s="36"/>
      <c r="R466" s="36"/>
      <c r="S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Q467" s="36"/>
      <c r="R467" s="36"/>
      <c r="S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Q468" s="36"/>
      <c r="R468" s="36"/>
      <c r="S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Q469" s="36"/>
      <c r="R469" s="36"/>
      <c r="S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Q470" s="36"/>
      <c r="R470" s="36"/>
      <c r="S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Q471" s="36"/>
      <c r="R471" s="36"/>
      <c r="S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Q472" s="36"/>
      <c r="R472" s="36"/>
      <c r="S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Q473" s="36"/>
      <c r="R473" s="36"/>
      <c r="S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Q474" s="36"/>
      <c r="R474" s="36"/>
      <c r="S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Q475" s="36"/>
      <c r="R475" s="36"/>
      <c r="S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Q476" s="36"/>
      <c r="R476" s="36"/>
      <c r="S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Q477" s="36"/>
      <c r="R477" s="36"/>
      <c r="S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Q478" s="36"/>
      <c r="R478" s="36"/>
      <c r="S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Q479" s="36"/>
      <c r="R479" s="36"/>
      <c r="S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Q480" s="36"/>
      <c r="R480" s="36"/>
      <c r="S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Q481" s="36"/>
      <c r="R481" s="36"/>
      <c r="S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Q482" s="36"/>
      <c r="R482" s="36"/>
      <c r="S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Q483" s="36"/>
      <c r="R483" s="36"/>
      <c r="S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Q484" s="36"/>
      <c r="R484" s="36"/>
      <c r="S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Q485" s="36"/>
      <c r="R485" s="36"/>
      <c r="S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Q486" s="36"/>
      <c r="R486" s="36"/>
      <c r="S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Q487" s="36"/>
      <c r="R487" s="36"/>
      <c r="S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Q488" s="36"/>
      <c r="R488" s="36"/>
      <c r="S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Q489" s="36"/>
      <c r="R489" s="36"/>
      <c r="S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Q490" s="36"/>
      <c r="R490" s="36"/>
      <c r="S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Q491" s="36"/>
      <c r="R491" s="36"/>
      <c r="S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Q492" s="36"/>
      <c r="R492" s="36"/>
      <c r="S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Q493" s="36"/>
      <c r="R493" s="36"/>
      <c r="S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Q494" s="36"/>
      <c r="R494" s="36"/>
      <c r="S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Q495" s="36"/>
      <c r="R495" s="36"/>
      <c r="S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Q496" s="36"/>
      <c r="R496" s="36"/>
      <c r="S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Q497" s="36"/>
      <c r="R497" s="36"/>
      <c r="S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Q498" s="36"/>
      <c r="R498" s="36"/>
      <c r="S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Q499" s="36"/>
      <c r="R499" s="36"/>
      <c r="S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Q500" s="36"/>
      <c r="R500" s="36"/>
      <c r="S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Q501" s="36"/>
      <c r="R501" s="36"/>
      <c r="S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Q502" s="36"/>
      <c r="R502" s="36"/>
      <c r="S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Q503" s="36"/>
      <c r="R503" s="36"/>
      <c r="S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Q504" s="36"/>
      <c r="R504" s="36"/>
      <c r="S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Q505" s="36"/>
      <c r="R505" s="36"/>
      <c r="S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Q506" s="36"/>
      <c r="R506" s="36"/>
      <c r="S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Q507" s="36"/>
      <c r="R507" s="36"/>
      <c r="S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Q508" s="36"/>
      <c r="R508" s="36"/>
      <c r="S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Q509" s="36"/>
      <c r="R509" s="36"/>
      <c r="S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Q510" s="36"/>
      <c r="R510" s="36"/>
      <c r="S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Q511" s="36"/>
      <c r="R511" s="36"/>
      <c r="S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Q512" s="36"/>
      <c r="R512" s="36"/>
      <c r="S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Q513" s="36"/>
      <c r="R513" s="36"/>
      <c r="S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Q514" s="36"/>
      <c r="R514" s="36"/>
      <c r="S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Q515" s="36"/>
      <c r="R515" s="36"/>
      <c r="S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Q516" s="36"/>
      <c r="R516" s="36"/>
      <c r="S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Q517" s="36"/>
      <c r="R517" s="36"/>
      <c r="S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Q518" s="36"/>
      <c r="R518" s="36"/>
      <c r="S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Q519" s="36"/>
      <c r="R519" s="36"/>
      <c r="S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Q520" s="36"/>
      <c r="R520" s="36"/>
      <c r="S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Q521" s="36"/>
      <c r="R521" s="36"/>
      <c r="S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Q522" s="36"/>
      <c r="R522" s="36"/>
      <c r="S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Q523" s="36"/>
      <c r="R523" s="36"/>
      <c r="S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Q524" s="36"/>
      <c r="R524" s="36"/>
      <c r="S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Q525" s="36"/>
      <c r="R525" s="36"/>
      <c r="S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Q526" s="36"/>
      <c r="R526" s="36"/>
      <c r="S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Q527" s="36"/>
      <c r="R527" s="36"/>
      <c r="S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Q528" s="36"/>
      <c r="R528" s="36"/>
      <c r="S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Q529" s="36"/>
      <c r="R529" s="36"/>
      <c r="S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Q530" s="36"/>
      <c r="R530" s="36"/>
      <c r="S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Q531" s="36"/>
      <c r="R531" s="36"/>
      <c r="S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Q532" s="36"/>
      <c r="R532" s="36"/>
      <c r="S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Q533" s="36"/>
      <c r="R533" s="36"/>
      <c r="S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Q534" s="36"/>
      <c r="R534" s="36"/>
      <c r="S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Q535" s="36"/>
      <c r="R535" s="36"/>
      <c r="S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Q536" s="36"/>
      <c r="R536" s="36"/>
      <c r="S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Q537" s="36"/>
      <c r="R537" s="36"/>
      <c r="S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Q538" s="36"/>
      <c r="R538" s="36"/>
      <c r="S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Q539" s="36"/>
      <c r="R539" s="36"/>
      <c r="S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Q540" s="36"/>
      <c r="R540" s="36"/>
      <c r="S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Q541" s="36"/>
      <c r="R541" s="36"/>
      <c r="S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Q542" s="36"/>
      <c r="R542" s="36"/>
      <c r="S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Q543" s="36"/>
      <c r="R543" s="36"/>
      <c r="S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Q544" s="36"/>
      <c r="R544" s="36"/>
      <c r="S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Q545" s="36"/>
      <c r="R545" s="36"/>
      <c r="S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Q546" s="36"/>
      <c r="R546" s="36"/>
      <c r="S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Q547" s="36"/>
      <c r="R547" s="36"/>
      <c r="S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Q548" s="36"/>
      <c r="R548" s="36"/>
      <c r="S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Q549" s="36"/>
      <c r="R549" s="36"/>
      <c r="S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Q550" s="36"/>
      <c r="R550" s="36"/>
      <c r="S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Q551" s="36"/>
      <c r="R551" s="36"/>
      <c r="S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Q552" s="36"/>
      <c r="R552" s="36"/>
      <c r="S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Q553" s="36"/>
      <c r="R553" s="36"/>
      <c r="S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Q554" s="36"/>
      <c r="R554" s="36"/>
      <c r="S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Q555" s="36"/>
      <c r="R555" s="36"/>
      <c r="S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Q556" s="36"/>
      <c r="R556" s="36"/>
      <c r="S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Q557" s="36"/>
      <c r="R557" s="36"/>
      <c r="S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Q558" s="36"/>
      <c r="R558" s="36"/>
      <c r="S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Q559" s="36"/>
      <c r="R559" s="36"/>
      <c r="S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Q560" s="36"/>
      <c r="R560" s="36"/>
      <c r="S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Q561" s="36"/>
      <c r="R561" s="36"/>
      <c r="S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Q562" s="36"/>
      <c r="R562" s="36"/>
      <c r="S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Q563" s="36"/>
      <c r="R563" s="36"/>
      <c r="S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Q564" s="36"/>
      <c r="R564" s="36"/>
      <c r="S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Q565" s="36"/>
      <c r="R565" s="36"/>
      <c r="S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Q566" s="36"/>
      <c r="R566" s="36"/>
      <c r="S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Q567" s="36"/>
      <c r="R567" s="36"/>
      <c r="S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Q568" s="36"/>
      <c r="R568" s="36"/>
      <c r="S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Q569" s="36"/>
      <c r="R569" s="36"/>
      <c r="S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Q570" s="36"/>
      <c r="R570" s="36"/>
      <c r="S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Q571" s="36"/>
      <c r="R571" s="36"/>
      <c r="S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Q572" s="36"/>
      <c r="R572" s="36"/>
      <c r="S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Q573" s="36"/>
      <c r="R573" s="36"/>
      <c r="S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Q574" s="36"/>
      <c r="R574" s="36"/>
      <c r="S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Q575" s="36"/>
      <c r="R575" s="36"/>
      <c r="S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Q576" s="36"/>
      <c r="R576" s="36"/>
      <c r="S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Q577" s="36"/>
      <c r="R577" s="36"/>
      <c r="S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Q578" s="36"/>
      <c r="R578" s="36"/>
      <c r="S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Q579" s="36"/>
      <c r="R579" s="36"/>
      <c r="S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Q580" s="36"/>
      <c r="R580" s="36"/>
      <c r="S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Q581" s="36"/>
      <c r="R581" s="36"/>
      <c r="S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Q582" s="36"/>
      <c r="R582" s="36"/>
      <c r="S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Q583" s="36"/>
      <c r="R583" s="36"/>
      <c r="S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Q584" s="36"/>
      <c r="R584" s="36"/>
      <c r="S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Q585" s="36"/>
      <c r="R585" s="36"/>
      <c r="S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Q586" s="36"/>
      <c r="R586" s="36"/>
      <c r="S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Q587" s="36"/>
      <c r="R587" s="36"/>
      <c r="S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Q588" s="36"/>
      <c r="R588" s="36"/>
      <c r="S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Q589" s="36"/>
      <c r="R589" s="36"/>
      <c r="S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Q590" s="36"/>
      <c r="R590" s="36"/>
      <c r="S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Q591" s="36"/>
      <c r="R591" s="36"/>
      <c r="S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Q592" s="36"/>
      <c r="R592" s="36"/>
      <c r="S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Q593" s="36"/>
      <c r="R593" s="36"/>
      <c r="S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Q594" s="36"/>
      <c r="R594" s="36"/>
      <c r="S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Q595" s="36"/>
      <c r="R595" s="36"/>
      <c r="S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Q596" s="36"/>
      <c r="R596" s="36"/>
      <c r="S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Q597" s="36"/>
      <c r="R597" s="36"/>
      <c r="S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Q598" s="36"/>
      <c r="R598" s="36"/>
      <c r="S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Q599" s="36"/>
      <c r="R599" s="36"/>
      <c r="S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Q600" s="36"/>
      <c r="R600" s="36"/>
      <c r="S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Q601" s="36"/>
      <c r="R601" s="36"/>
      <c r="S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Q602" s="36"/>
      <c r="R602" s="36"/>
      <c r="S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Q603" s="36"/>
      <c r="R603" s="36"/>
      <c r="S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Q604" s="36"/>
      <c r="R604" s="36"/>
      <c r="S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Q605" s="36"/>
      <c r="R605" s="36"/>
      <c r="S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Q606" s="36"/>
      <c r="R606" s="36"/>
      <c r="S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Q607" s="36"/>
      <c r="R607" s="36"/>
      <c r="S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Q608" s="36"/>
      <c r="R608" s="36"/>
      <c r="S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Q609" s="36"/>
      <c r="R609" s="36"/>
      <c r="S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Q610" s="36"/>
      <c r="R610" s="36"/>
      <c r="S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Q611" s="36"/>
      <c r="R611" s="36"/>
      <c r="S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Q612" s="36"/>
      <c r="R612" s="36"/>
      <c r="S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Q613" s="36"/>
      <c r="R613" s="36"/>
      <c r="S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Q614" s="36"/>
      <c r="R614" s="36"/>
      <c r="S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Q615" s="36"/>
      <c r="R615" s="36"/>
      <c r="S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Q616" s="36"/>
      <c r="R616" s="36"/>
      <c r="S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Q617" s="36"/>
      <c r="R617" s="36"/>
      <c r="S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Q618" s="36"/>
      <c r="R618" s="36"/>
      <c r="S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Q619" s="36"/>
      <c r="R619" s="36"/>
      <c r="S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Q620" s="36"/>
      <c r="R620" s="36"/>
      <c r="S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Q621" s="36"/>
      <c r="R621" s="36"/>
      <c r="S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Q622" s="36"/>
      <c r="R622" s="36"/>
      <c r="S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Q623" s="36"/>
      <c r="R623" s="36"/>
      <c r="S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Q624" s="36"/>
      <c r="R624" s="36"/>
      <c r="S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Q625" s="36"/>
      <c r="R625" s="36"/>
      <c r="S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Q626" s="36"/>
      <c r="R626" s="36"/>
      <c r="S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Q627" s="36"/>
      <c r="R627" s="36"/>
      <c r="S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Q628" s="36"/>
      <c r="R628" s="36"/>
      <c r="S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Q629" s="36"/>
      <c r="R629" s="36"/>
      <c r="S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Q630" s="36"/>
      <c r="R630" s="36"/>
      <c r="S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Q631" s="36"/>
      <c r="R631" s="36"/>
      <c r="S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Q632" s="36"/>
      <c r="R632" s="36"/>
      <c r="S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Q633" s="36"/>
      <c r="R633" s="36"/>
      <c r="S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Q634" s="36"/>
      <c r="R634" s="36"/>
      <c r="S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Q635" s="36"/>
      <c r="R635" s="36"/>
      <c r="S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Q636" s="36"/>
      <c r="R636" s="36"/>
      <c r="S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Q637" s="36"/>
      <c r="R637" s="36"/>
      <c r="S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Q638" s="36"/>
      <c r="R638" s="36"/>
      <c r="S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Q639" s="36"/>
      <c r="R639" s="36"/>
      <c r="S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Q640" s="36"/>
      <c r="R640" s="36"/>
      <c r="S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Q641" s="36"/>
      <c r="R641" s="36"/>
      <c r="S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Q642" s="36"/>
      <c r="R642" s="36"/>
      <c r="S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Q643" s="36"/>
      <c r="R643" s="36"/>
      <c r="S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Q644" s="36"/>
      <c r="R644" s="36"/>
      <c r="S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Q645" s="36"/>
      <c r="R645" s="36"/>
      <c r="S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Q646" s="36"/>
      <c r="R646" s="36"/>
      <c r="S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Q647" s="36"/>
      <c r="R647" s="36"/>
      <c r="S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Q648" s="36"/>
      <c r="R648" s="36"/>
      <c r="S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Q649" s="36"/>
      <c r="R649" s="36"/>
      <c r="S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Q650" s="36"/>
      <c r="R650" s="36"/>
      <c r="S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Q651" s="36"/>
      <c r="R651" s="36"/>
      <c r="S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Q652" s="36"/>
      <c r="R652" s="36"/>
      <c r="S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Q653" s="36"/>
      <c r="R653" s="36"/>
      <c r="S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Q654" s="36"/>
      <c r="R654" s="36"/>
      <c r="S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Q655" s="36"/>
      <c r="R655" s="36"/>
      <c r="S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Q656" s="36"/>
      <c r="R656" s="36"/>
      <c r="S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Q657" s="36"/>
      <c r="R657" s="36"/>
      <c r="S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Q658" s="36"/>
      <c r="R658" s="36"/>
      <c r="S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Q659" s="36"/>
      <c r="R659" s="36"/>
      <c r="S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Q660" s="36"/>
      <c r="R660" s="36"/>
      <c r="S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Q661" s="36"/>
      <c r="R661" s="36"/>
      <c r="S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Q662" s="36"/>
      <c r="R662" s="36"/>
      <c r="S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Q663" s="36"/>
      <c r="R663" s="36"/>
      <c r="S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Q664" s="36"/>
      <c r="R664" s="36"/>
      <c r="S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Q665" s="36"/>
      <c r="R665" s="36"/>
      <c r="S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Q666" s="36"/>
      <c r="R666" s="36"/>
      <c r="S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Q667" s="36"/>
      <c r="R667" s="36"/>
      <c r="S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Q668" s="36"/>
      <c r="R668" s="36"/>
      <c r="S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Q669" s="36"/>
      <c r="R669" s="36"/>
      <c r="S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Q670" s="36"/>
      <c r="R670" s="36"/>
      <c r="S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Q671" s="36"/>
      <c r="R671" s="36"/>
      <c r="S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Q672" s="36"/>
      <c r="R672" s="36"/>
      <c r="S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Q673" s="36"/>
      <c r="R673" s="36"/>
      <c r="S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Q674" s="36"/>
      <c r="R674" s="36"/>
      <c r="S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Q675" s="36"/>
      <c r="R675" s="36"/>
      <c r="S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Q676" s="36"/>
      <c r="R676" s="36"/>
      <c r="S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Q677" s="36"/>
      <c r="R677" s="36"/>
      <c r="S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Q678" s="36"/>
      <c r="R678" s="36"/>
      <c r="S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Q679" s="36"/>
      <c r="R679" s="36"/>
      <c r="S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Q680" s="36"/>
      <c r="R680" s="36"/>
      <c r="S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Q681" s="36"/>
      <c r="R681" s="36"/>
      <c r="S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Q682" s="36"/>
      <c r="R682" s="36"/>
      <c r="S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Q683" s="36"/>
      <c r="R683" s="36"/>
      <c r="S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Q684" s="36"/>
      <c r="R684" s="36"/>
      <c r="S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Q685" s="36"/>
      <c r="R685" s="36"/>
      <c r="S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Q686" s="36"/>
      <c r="R686" s="36"/>
      <c r="S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Q687" s="36"/>
      <c r="R687" s="36"/>
      <c r="S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Q688" s="36"/>
      <c r="R688" s="36"/>
      <c r="S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Q689" s="36"/>
      <c r="R689" s="36"/>
      <c r="S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Q690" s="36"/>
      <c r="R690" s="36"/>
      <c r="S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Q691" s="36"/>
      <c r="R691" s="36"/>
      <c r="S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Q692" s="36"/>
      <c r="R692" s="36"/>
      <c r="S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Q693" s="36"/>
      <c r="R693" s="36"/>
      <c r="S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Q694" s="36"/>
      <c r="R694" s="36"/>
      <c r="S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Q695" s="36"/>
      <c r="R695" s="36"/>
      <c r="S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Q696" s="36"/>
      <c r="R696" s="36"/>
      <c r="S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Q697" s="36"/>
      <c r="R697" s="36"/>
      <c r="S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Q698" s="36"/>
      <c r="R698" s="36"/>
      <c r="S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Q699" s="36"/>
      <c r="R699" s="36"/>
      <c r="S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Q700" s="36"/>
      <c r="R700" s="36"/>
      <c r="S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Q701" s="36"/>
      <c r="R701" s="36"/>
      <c r="S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Q702" s="36"/>
      <c r="R702" s="36"/>
      <c r="S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Q703" s="36"/>
      <c r="R703" s="36"/>
      <c r="S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Q704" s="36"/>
      <c r="R704" s="36"/>
      <c r="S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Q705" s="36"/>
      <c r="R705" s="36"/>
      <c r="S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Q706" s="36"/>
      <c r="R706" s="36"/>
      <c r="S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Q707" s="36"/>
      <c r="R707" s="36"/>
      <c r="S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Q708" s="36"/>
      <c r="R708" s="36"/>
      <c r="S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Q709" s="36"/>
      <c r="R709" s="36"/>
      <c r="S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Q710" s="36"/>
      <c r="R710" s="36"/>
      <c r="S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Q711" s="36"/>
      <c r="R711" s="36"/>
      <c r="S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Q712" s="36"/>
      <c r="R712" s="36"/>
      <c r="S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Q713" s="36"/>
      <c r="R713" s="36"/>
      <c r="S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Q714" s="36"/>
      <c r="R714" s="36"/>
      <c r="S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Q715" s="36"/>
      <c r="R715" s="36"/>
      <c r="S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Q716" s="36"/>
      <c r="R716" s="36"/>
      <c r="S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Q717" s="36"/>
      <c r="R717" s="36"/>
      <c r="S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Q718" s="36"/>
      <c r="R718" s="36"/>
      <c r="S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Q719" s="36"/>
      <c r="R719" s="36"/>
      <c r="S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Q720" s="36"/>
      <c r="R720" s="36"/>
      <c r="S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Q721" s="36"/>
      <c r="R721" s="36"/>
      <c r="S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Q722" s="36"/>
      <c r="R722" s="36"/>
      <c r="S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Q723" s="36"/>
      <c r="R723" s="36"/>
      <c r="S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Q724" s="36"/>
      <c r="R724" s="36"/>
      <c r="S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Q725" s="36"/>
      <c r="R725" s="36"/>
      <c r="S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Q726" s="36"/>
      <c r="R726" s="36"/>
      <c r="S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Q727" s="36"/>
      <c r="R727" s="36"/>
      <c r="S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Q728" s="36"/>
      <c r="R728" s="36"/>
      <c r="S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Q729" s="36"/>
      <c r="R729" s="36"/>
      <c r="S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Q730" s="36"/>
      <c r="R730" s="36"/>
      <c r="S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Q731" s="36"/>
      <c r="R731" s="36"/>
      <c r="S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Q732" s="36"/>
      <c r="R732" s="36"/>
      <c r="S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Q733" s="36"/>
      <c r="R733" s="36"/>
      <c r="S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Q734" s="36"/>
      <c r="R734" s="36"/>
      <c r="S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Q735" s="36"/>
      <c r="R735" s="36"/>
      <c r="S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Q736" s="36"/>
      <c r="R736" s="36"/>
      <c r="S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Q737" s="36"/>
      <c r="R737" s="36"/>
      <c r="S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Q738" s="36"/>
      <c r="R738" s="36"/>
      <c r="S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Q739" s="36"/>
      <c r="R739" s="36"/>
      <c r="S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Q740" s="36"/>
      <c r="R740" s="36"/>
      <c r="S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Q741" s="36"/>
      <c r="R741" s="36"/>
      <c r="S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Q742" s="36"/>
      <c r="R742" s="36"/>
      <c r="S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Q743" s="36"/>
      <c r="R743" s="36"/>
      <c r="S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Q744" s="36"/>
      <c r="R744" s="36"/>
      <c r="S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Q745" s="36"/>
      <c r="R745" s="36"/>
      <c r="S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Q746" s="36"/>
      <c r="R746" s="36"/>
      <c r="S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Q747" s="36"/>
      <c r="R747" s="36"/>
      <c r="S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Q748" s="36"/>
      <c r="R748" s="36"/>
      <c r="S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Q749" s="36"/>
      <c r="R749" s="36"/>
      <c r="S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Q750" s="36"/>
      <c r="R750" s="36"/>
      <c r="S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Q751" s="36"/>
      <c r="R751" s="36"/>
      <c r="S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Q752" s="36"/>
      <c r="R752" s="36"/>
      <c r="S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Q753" s="36"/>
      <c r="R753" s="36"/>
      <c r="S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Q754" s="36"/>
      <c r="R754" s="36"/>
      <c r="S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Q755" s="36"/>
      <c r="R755" s="36"/>
      <c r="S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Q756" s="36"/>
      <c r="R756" s="36"/>
      <c r="S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Q757" s="36"/>
      <c r="R757" s="36"/>
      <c r="S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Q758" s="36"/>
      <c r="R758" s="36"/>
      <c r="S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Q759" s="36"/>
      <c r="R759" s="36"/>
      <c r="S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Q760" s="36"/>
      <c r="R760" s="36"/>
      <c r="S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Q761" s="36"/>
      <c r="R761" s="36"/>
      <c r="S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Q762" s="36"/>
      <c r="R762" s="36"/>
      <c r="S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Q763" s="36"/>
      <c r="R763" s="36"/>
      <c r="S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Q764" s="36"/>
      <c r="R764" s="36"/>
      <c r="S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Q765" s="36"/>
      <c r="R765" s="36"/>
      <c r="S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Q766" s="36"/>
      <c r="R766" s="36"/>
      <c r="S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Q767" s="36"/>
      <c r="R767" s="36"/>
      <c r="S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Q768" s="36"/>
      <c r="R768" s="36"/>
      <c r="S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Q769" s="36"/>
      <c r="R769" s="36"/>
      <c r="S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Q770" s="36"/>
      <c r="R770" s="36"/>
      <c r="S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Q771" s="36"/>
      <c r="R771" s="36"/>
      <c r="S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Q772" s="36"/>
      <c r="R772" s="36"/>
      <c r="S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Q773" s="36"/>
      <c r="R773" s="36"/>
      <c r="S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Q774" s="36"/>
      <c r="R774" s="36"/>
      <c r="S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Q775" s="36"/>
      <c r="R775" s="36"/>
      <c r="S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Q776" s="36"/>
      <c r="R776" s="36"/>
      <c r="S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Q777" s="36"/>
      <c r="R777" s="36"/>
      <c r="S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Q778" s="36"/>
      <c r="R778" s="36"/>
      <c r="S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Q779" s="36"/>
      <c r="R779" s="36"/>
      <c r="S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Q780" s="36"/>
      <c r="R780" s="36"/>
      <c r="S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Q781" s="36"/>
      <c r="R781" s="36"/>
      <c r="S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Q782" s="36"/>
      <c r="R782" s="36"/>
      <c r="S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Q783" s="36"/>
      <c r="R783" s="36"/>
      <c r="S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Q784" s="36"/>
      <c r="R784" s="36"/>
      <c r="S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Q785" s="36"/>
      <c r="R785" s="36"/>
      <c r="S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Q786" s="36"/>
      <c r="R786" s="36"/>
      <c r="S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Q787" s="36"/>
      <c r="R787" s="36"/>
      <c r="S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Q788" s="36"/>
      <c r="R788" s="36"/>
      <c r="S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Q789" s="36"/>
      <c r="R789" s="36"/>
      <c r="S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Q790" s="36"/>
      <c r="R790" s="36"/>
      <c r="S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Q791" s="36"/>
      <c r="R791" s="36"/>
      <c r="S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Q792" s="36"/>
      <c r="R792" s="36"/>
      <c r="S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Q793" s="36"/>
      <c r="R793" s="36"/>
      <c r="S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Q794" s="36"/>
      <c r="R794" s="36"/>
      <c r="S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Q795" s="36"/>
      <c r="R795" s="36"/>
      <c r="S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Q796" s="36"/>
      <c r="R796" s="36"/>
      <c r="S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Q797" s="36"/>
      <c r="R797" s="36"/>
      <c r="S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Q798" s="36"/>
      <c r="R798" s="36"/>
      <c r="S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Q799" s="36"/>
      <c r="R799" s="36"/>
      <c r="S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Q800" s="36"/>
      <c r="R800" s="36"/>
      <c r="S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Q801" s="36"/>
      <c r="R801" s="36"/>
      <c r="S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Q802" s="36"/>
      <c r="R802" s="36"/>
      <c r="S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Q803" s="36"/>
      <c r="R803" s="36"/>
      <c r="S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Q804" s="36"/>
      <c r="R804" s="36"/>
      <c r="S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Q805" s="36"/>
      <c r="R805" s="36"/>
      <c r="S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Q806" s="36"/>
      <c r="R806" s="36"/>
      <c r="S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Q807" s="36"/>
      <c r="R807" s="36"/>
      <c r="S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Q808" s="36"/>
      <c r="R808" s="36"/>
      <c r="S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Q809" s="36"/>
      <c r="R809" s="36"/>
      <c r="S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Q810" s="36"/>
      <c r="R810" s="36"/>
      <c r="S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Q811" s="36"/>
      <c r="R811" s="36"/>
      <c r="S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Q812" s="36"/>
      <c r="R812" s="36"/>
      <c r="S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Q813" s="36"/>
      <c r="R813" s="36"/>
      <c r="S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Q814" s="36"/>
      <c r="R814" s="36"/>
      <c r="S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Q815" s="36"/>
      <c r="R815" s="36"/>
      <c r="S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Q816" s="36"/>
      <c r="R816" s="36"/>
      <c r="S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Q817" s="36"/>
      <c r="R817" s="36"/>
      <c r="S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Q818" s="36"/>
      <c r="R818" s="36"/>
      <c r="S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Q819" s="36"/>
      <c r="R819" s="36"/>
      <c r="S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Q820" s="36"/>
      <c r="R820" s="36"/>
      <c r="S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Q821" s="36"/>
      <c r="R821" s="36"/>
      <c r="S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Q822" s="36"/>
      <c r="R822" s="36"/>
      <c r="S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Q823" s="36"/>
      <c r="R823" s="36"/>
      <c r="S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Q824" s="36"/>
      <c r="R824" s="36"/>
      <c r="S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Q825" s="36"/>
      <c r="R825" s="36"/>
      <c r="S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Q826" s="36"/>
      <c r="R826" s="36"/>
      <c r="S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Q827" s="36"/>
      <c r="R827" s="36"/>
      <c r="S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Q828" s="36"/>
      <c r="R828" s="36"/>
      <c r="S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Q829" s="36"/>
      <c r="R829" s="36"/>
      <c r="S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Q830" s="36"/>
      <c r="R830" s="36"/>
      <c r="S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Q831" s="36"/>
      <c r="R831" s="36"/>
      <c r="S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Q832" s="36"/>
      <c r="R832" s="36"/>
      <c r="S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Q833" s="36"/>
      <c r="R833" s="36"/>
      <c r="S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Q834" s="36"/>
      <c r="R834" s="36"/>
      <c r="S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Q835" s="36"/>
      <c r="R835" s="36"/>
      <c r="S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Q836" s="36"/>
      <c r="R836" s="36"/>
      <c r="S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Q837" s="36"/>
      <c r="R837" s="36"/>
      <c r="S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Q838" s="36"/>
      <c r="R838" s="36"/>
      <c r="S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Q839" s="36"/>
      <c r="R839" s="36"/>
      <c r="S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Q840" s="36"/>
      <c r="R840" s="36"/>
      <c r="S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Q841" s="36"/>
      <c r="R841" s="36"/>
      <c r="S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Q842" s="36"/>
      <c r="R842" s="36"/>
      <c r="S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Q843" s="36"/>
      <c r="R843" s="36"/>
      <c r="S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Q844" s="36"/>
      <c r="R844" s="36"/>
      <c r="S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Q845" s="36"/>
      <c r="R845" s="36"/>
      <c r="S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Q846" s="36"/>
      <c r="R846" s="36"/>
      <c r="S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Q847" s="36"/>
      <c r="R847" s="36"/>
      <c r="S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Q848" s="36"/>
      <c r="R848" s="36"/>
      <c r="S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Q849" s="36"/>
      <c r="R849" s="36"/>
      <c r="S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Q850" s="36"/>
      <c r="R850" s="36"/>
      <c r="S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Q851" s="36"/>
      <c r="R851" s="36"/>
      <c r="S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Q852" s="36"/>
      <c r="R852" s="36"/>
      <c r="S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Q853" s="36"/>
      <c r="R853" s="36"/>
      <c r="S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Q854" s="36"/>
      <c r="R854" s="36"/>
      <c r="S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Q855" s="36"/>
      <c r="R855" s="36"/>
      <c r="S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Q856" s="36"/>
      <c r="R856" s="36"/>
      <c r="S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Q857" s="36"/>
      <c r="R857" s="36"/>
      <c r="S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Q858" s="36"/>
      <c r="R858" s="36"/>
      <c r="S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Q859" s="36"/>
      <c r="R859" s="36"/>
      <c r="S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Q860" s="36"/>
      <c r="R860" s="36"/>
      <c r="S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Q861" s="36"/>
      <c r="R861" s="36"/>
      <c r="S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Q862" s="36"/>
      <c r="R862" s="36"/>
      <c r="S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Q863" s="36"/>
      <c r="R863" s="36"/>
      <c r="S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Q864" s="36"/>
      <c r="R864" s="36"/>
      <c r="S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Q865" s="36"/>
      <c r="R865" s="36"/>
      <c r="S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Q866" s="36"/>
      <c r="R866" s="36"/>
      <c r="S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Q867" s="36"/>
      <c r="R867" s="36"/>
      <c r="S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Q868" s="36"/>
      <c r="R868" s="36"/>
      <c r="S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Q869" s="36"/>
      <c r="R869" s="36"/>
      <c r="S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Q870" s="36"/>
      <c r="R870" s="36"/>
      <c r="S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Q871" s="36"/>
      <c r="R871" s="36"/>
      <c r="S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Q872" s="36"/>
      <c r="R872" s="36"/>
      <c r="S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Q873" s="36"/>
      <c r="R873" s="36"/>
      <c r="S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Q874" s="36"/>
      <c r="R874" s="36"/>
      <c r="S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Q875" s="36"/>
      <c r="R875" s="36"/>
      <c r="S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Q876" s="36"/>
      <c r="R876" s="36"/>
      <c r="S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Q877" s="36"/>
      <c r="R877" s="36"/>
      <c r="S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Q878" s="36"/>
      <c r="R878" s="36"/>
      <c r="S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Q879" s="36"/>
      <c r="R879" s="36"/>
      <c r="S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Q880" s="36"/>
      <c r="R880" s="36"/>
      <c r="S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Q881" s="36"/>
      <c r="R881" s="36"/>
      <c r="S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Q882" s="36"/>
      <c r="R882" s="36"/>
      <c r="S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Q883" s="36"/>
      <c r="R883" s="36"/>
      <c r="S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Q884" s="36"/>
      <c r="R884" s="36"/>
      <c r="S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Q885" s="36"/>
      <c r="R885" s="36"/>
      <c r="S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Q886" s="36"/>
      <c r="R886" s="36"/>
      <c r="S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Q887" s="36"/>
      <c r="R887" s="36"/>
      <c r="S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Q888" s="36"/>
      <c r="R888" s="36"/>
      <c r="S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Q889" s="36"/>
      <c r="R889" s="36"/>
      <c r="S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Q890" s="36"/>
      <c r="R890" s="36"/>
      <c r="S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Q891" s="36"/>
      <c r="R891" s="36"/>
      <c r="S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Q892" s="36"/>
      <c r="R892" s="36"/>
      <c r="S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Q893" s="36"/>
      <c r="R893" s="36"/>
      <c r="S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Q894" s="36"/>
      <c r="R894" s="36"/>
      <c r="S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Q895" s="36"/>
      <c r="R895" s="36"/>
      <c r="S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Q896" s="36"/>
      <c r="R896" s="36"/>
      <c r="S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Q897" s="36"/>
      <c r="R897" s="36"/>
      <c r="S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Q898" s="36"/>
      <c r="R898" s="36"/>
      <c r="S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Q899" s="36"/>
      <c r="R899" s="36"/>
      <c r="S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Q900" s="36"/>
      <c r="R900" s="36"/>
      <c r="S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Q901" s="36"/>
      <c r="R901" s="36"/>
      <c r="S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Q902" s="36"/>
      <c r="R902" s="36"/>
      <c r="S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Q903" s="36"/>
      <c r="R903" s="36"/>
      <c r="S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Q904" s="36"/>
      <c r="R904" s="36"/>
      <c r="S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Q905" s="36"/>
      <c r="R905" s="36"/>
      <c r="S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Q906" s="36"/>
      <c r="R906" s="36"/>
      <c r="S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Q907" s="36"/>
      <c r="R907" s="36"/>
      <c r="S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Q908" s="36"/>
      <c r="R908" s="36"/>
      <c r="S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Q909" s="36"/>
      <c r="R909" s="36"/>
      <c r="S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Q910" s="36"/>
      <c r="R910" s="36"/>
      <c r="S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Q911" s="36"/>
      <c r="R911" s="36"/>
      <c r="S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Q912" s="36"/>
      <c r="R912" s="36"/>
      <c r="S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Q913" s="36"/>
      <c r="R913" s="36"/>
      <c r="S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Q914" s="36"/>
      <c r="R914" s="36"/>
      <c r="S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Q915" s="36"/>
      <c r="R915" s="36"/>
      <c r="S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Q916" s="36"/>
      <c r="R916" s="36"/>
      <c r="S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Q917" s="36"/>
      <c r="R917" s="36"/>
      <c r="S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Q918" s="36"/>
      <c r="R918" s="36"/>
      <c r="S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Q919" s="36"/>
      <c r="R919" s="36"/>
      <c r="S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Q920" s="36"/>
      <c r="R920" s="36"/>
      <c r="S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Q921" s="36"/>
      <c r="R921" s="36"/>
      <c r="S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Q922" s="36"/>
      <c r="R922" s="36"/>
      <c r="S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Q923" s="36"/>
      <c r="R923" s="36"/>
      <c r="S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Q924" s="36"/>
      <c r="R924" s="36"/>
      <c r="S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Q925" s="36"/>
      <c r="R925" s="36"/>
      <c r="S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Q926" s="36"/>
      <c r="R926" s="36"/>
      <c r="S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Q927" s="36"/>
      <c r="R927" s="36"/>
      <c r="S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Q928" s="36"/>
      <c r="R928" s="36"/>
      <c r="S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Q929" s="36"/>
      <c r="R929" s="36"/>
      <c r="S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Q930" s="36"/>
      <c r="R930" s="36"/>
      <c r="S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Q931" s="36"/>
      <c r="R931" s="36"/>
      <c r="S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Q932" s="36"/>
      <c r="R932" s="36"/>
      <c r="S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Q933" s="36"/>
      <c r="R933" s="36"/>
      <c r="S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Q934" s="36"/>
      <c r="R934" s="36"/>
      <c r="S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Q935" s="36"/>
      <c r="R935" s="36"/>
      <c r="S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Q936" s="36"/>
      <c r="R936" s="36"/>
      <c r="S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Q937" s="36"/>
      <c r="R937" s="36"/>
      <c r="S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Q938" s="36"/>
      <c r="R938" s="36"/>
      <c r="S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Q939" s="36"/>
      <c r="R939" s="36"/>
      <c r="S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Q940" s="36"/>
      <c r="R940" s="36"/>
      <c r="S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Q941" s="36"/>
      <c r="R941" s="36"/>
      <c r="S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Q942" s="36"/>
      <c r="R942" s="36"/>
      <c r="S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Q943" s="36"/>
      <c r="R943" s="36"/>
      <c r="S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Q944" s="36"/>
      <c r="R944" s="36"/>
      <c r="S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Q945" s="36"/>
      <c r="R945" s="36"/>
      <c r="S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Q946" s="36"/>
      <c r="R946" s="36"/>
      <c r="S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Q947" s="36"/>
      <c r="R947" s="36"/>
      <c r="S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Q948" s="36"/>
      <c r="R948" s="36"/>
      <c r="S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Q949" s="36"/>
      <c r="R949" s="36"/>
      <c r="S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Q950" s="36"/>
      <c r="R950" s="36"/>
      <c r="S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Q951" s="36"/>
      <c r="R951" s="36"/>
      <c r="S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Q952" s="36"/>
      <c r="R952" s="36"/>
      <c r="S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Q953" s="36"/>
      <c r="R953" s="36"/>
      <c r="S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Q954" s="36"/>
      <c r="R954" s="36"/>
      <c r="S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Q955" s="36"/>
      <c r="R955" s="36"/>
      <c r="S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Q956" s="36"/>
      <c r="R956" s="36"/>
      <c r="S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Q957" s="36"/>
      <c r="R957" s="36"/>
      <c r="S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Q958" s="36"/>
      <c r="R958" s="36"/>
      <c r="S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Q959" s="36"/>
      <c r="R959" s="36"/>
      <c r="S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Q960" s="36"/>
      <c r="R960" s="36"/>
      <c r="S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Q961" s="36"/>
      <c r="R961" s="36"/>
      <c r="S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Q962" s="36"/>
      <c r="R962" s="36"/>
      <c r="S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Q963" s="36"/>
      <c r="R963" s="36"/>
      <c r="S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Q964" s="36"/>
      <c r="R964" s="36"/>
      <c r="S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Q965" s="36"/>
      <c r="R965" s="36"/>
      <c r="S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Q966" s="36"/>
      <c r="R966" s="36"/>
      <c r="S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Q967" s="36"/>
      <c r="R967" s="36"/>
      <c r="S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Q968" s="36"/>
      <c r="R968" s="36"/>
      <c r="S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Q969" s="36"/>
      <c r="R969" s="36"/>
      <c r="S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Q970" s="36"/>
      <c r="R970" s="36"/>
      <c r="S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Q971" s="36"/>
      <c r="R971" s="36"/>
      <c r="S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Q972" s="36"/>
      <c r="R972" s="36"/>
      <c r="S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Q973" s="36"/>
      <c r="R973" s="36"/>
      <c r="S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Q974" s="36"/>
      <c r="R974" s="36"/>
      <c r="S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Q975" s="36"/>
      <c r="R975" s="36"/>
      <c r="S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Q976" s="36"/>
      <c r="R976" s="36"/>
      <c r="S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Q977" s="36"/>
      <c r="R977" s="36"/>
      <c r="S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Q978" s="36"/>
      <c r="R978" s="36"/>
      <c r="S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Q979" s="36"/>
      <c r="R979" s="36"/>
      <c r="S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Q980" s="36"/>
      <c r="R980" s="36"/>
      <c r="S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Q981" s="36"/>
      <c r="R981" s="36"/>
      <c r="S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Q982" s="36"/>
      <c r="R982" s="36"/>
      <c r="S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Q983" s="36"/>
      <c r="R983" s="36"/>
      <c r="S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Q984" s="36"/>
      <c r="R984" s="36"/>
      <c r="S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Q985" s="36"/>
      <c r="R985" s="36"/>
      <c r="S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Q986" s="36"/>
      <c r="R986" s="36"/>
      <c r="S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Q987" s="36"/>
      <c r="R987" s="36"/>
      <c r="S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Q988" s="36"/>
      <c r="R988" s="36"/>
      <c r="S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Q989" s="36"/>
      <c r="R989" s="36"/>
      <c r="S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Q990" s="36"/>
      <c r="R990" s="36"/>
      <c r="S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Q991" s="36"/>
      <c r="R991" s="36"/>
      <c r="S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Q992" s="36"/>
      <c r="R992" s="36"/>
      <c r="S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Q993" s="36"/>
      <c r="R993" s="36"/>
      <c r="S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Q994" s="36"/>
      <c r="R994" s="36"/>
      <c r="S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Q995" s="36"/>
      <c r="R995" s="36"/>
      <c r="S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Q996" s="36"/>
      <c r="R996" s="36"/>
      <c r="S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Q997" s="36"/>
      <c r="R997" s="36"/>
      <c r="S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Q998" s="36"/>
      <c r="R998" s="36"/>
      <c r="S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Q999" s="36"/>
      <c r="R999" s="36"/>
      <c r="S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Q1000" s="36"/>
      <c r="R1000" s="36"/>
      <c r="S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Q1001" s="36"/>
      <c r="R1001" s="36"/>
      <c r="S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Q1002" s="36"/>
      <c r="R1002" s="36"/>
      <c r="S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Q1003" s="36"/>
      <c r="R1003" s="36"/>
      <c r="S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Q1004" s="36"/>
      <c r="R1004" s="36"/>
      <c r="S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Q1005" s="36"/>
      <c r="R1005" s="36"/>
      <c r="S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Q1006" s="36"/>
      <c r="R1006" s="36"/>
      <c r="S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Q1007" s="36"/>
      <c r="R1007" s="36"/>
      <c r="S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Q1008" s="36"/>
      <c r="R1008" s="36"/>
      <c r="S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Q1009" s="36"/>
      <c r="R1009" s="36"/>
      <c r="S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Q1010" s="36"/>
      <c r="R1010" s="36"/>
      <c r="S1010" s="36"/>
    </row>
  </sheetData>
  <mergeCells count="6">
    <mergeCell ref="B1:D1"/>
    <mergeCell ref="E1:G1"/>
    <mergeCell ref="H1:J1"/>
    <mergeCell ref="K1:M1"/>
    <mergeCell ref="N1:P1"/>
    <mergeCell ref="Q1:S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3.88"/>
    <col customWidth="1" min="3" max="4" width="12.88"/>
    <col customWidth="1" min="5" max="5" width="13.5"/>
    <col customWidth="1" min="6" max="6" width="11.63"/>
    <col customWidth="1" min="7" max="7" width="12.0"/>
    <col customWidth="1" min="8" max="8" width="14.13"/>
    <col customWidth="1" min="9" max="9" width="14.5"/>
    <col customWidth="1" min="10" max="10" width="13.88"/>
    <col customWidth="1" min="11" max="11" width="11.63"/>
    <col customWidth="1" min="12" max="12" width="9.25"/>
    <col customWidth="1" min="13" max="13" width="9.38"/>
    <col customWidth="1" min="14" max="15" width="14.5"/>
    <col customWidth="1" min="16" max="16" width="14.75"/>
    <col customWidth="1" min="17" max="17" width="14.5"/>
    <col customWidth="1" min="18" max="18" width="14.75"/>
    <col customWidth="1" min="19" max="19" width="14.25"/>
  </cols>
  <sheetData>
    <row r="1">
      <c r="A1" s="1" t="s">
        <v>27</v>
      </c>
      <c r="B1" s="2" t="s">
        <v>1</v>
      </c>
      <c r="C1" s="3"/>
      <c r="D1" s="4"/>
      <c r="E1" s="5" t="s">
        <v>2</v>
      </c>
      <c r="F1" s="3"/>
      <c r="G1" s="4"/>
      <c r="H1" s="6" t="s">
        <v>3</v>
      </c>
      <c r="I1" s="3"/>
      <c r="J1" s="4"/>
      <c r="K1" s="7" t="s">
        <v>4</v>
      </c>
      <c r="L1" s="3"/>
      <c r="M1" s="4"/>
      <c r="N1" s="8" t="s">
        <v>5</v>
      </c>
      <c r="O1" s="3"/>
      <c r="P1" s="4"/>
      <c r="Q1" s="9" t="s">
        <v>6</v>
      </c>
      <c r="R1" s="3"/>
      <c r="S1" s="4"/>
    </row>
    <row r="2">
      <c r="A2" s="10" t="s">
        <v>7</v>
      </c>
      <c r="B2" s="11">
        <v>4096.0</v>
      </c>
      <c r="C2" s="11">
        <v>8192.0</v>
      </c>
      <c r="D2" s="11">
        <v>16384.0</v>
      </c>
      <c r="E2" s="12">
        <v>4096.0</v>
      </c>
      <c r="F2" s="12">
        <v>8192.0</v>
      </c>
      <c r="G2" s="12">
        <v>16384.0</v>
      </c>
      <c r="H2" s="13">
        <v>4096.0</v>
      </c>
      <c r="I2" s="13">
        <v>8192.0</v>
      </c>
      <c r="J2" s="13">
        <v>16384.0</v>
      </c>
      <c r="K2" s="14">
        <v>4096.0</v>
      </c>
      <c r="L2" s="14">
        <v>8192.0</v>
      </c>
      <c r="M2" s="14">
        <v>16384.0</v>
      </c>
      <c r="N2" s="15">
        <v>4096.0</v>
      </c>
      <c r="O2" s="15">
        <v>8192.0</v>
      </c>
      <c r="P2" s="15">
        <v>16384.0</v>
      </c>
      <c r="Q2" s="16">
        <v>4096.0</v>
      </c>
      <c r="R2" s="16">
        <v>8192.0</v>
      </c>
      <c r="S2" s="16">
        <v>16384.0</v>
      </c>
      <c r="T2" s="17"/>
      <c r="U2" s="17"/>
      <c r="V2" s="17"/>
      <c r="W2" s="17"/>
      <c r="X2" s="17"/>
      <c r="Y2" s="17"/>
      <c r="Z2" s="17"/>
    </row>
    <row r="3">
      <c r="A3" s="18" t="s">
        <v>8</v>
      </c>
      <c r="B3" s="19"/>
      <c r="C3" s="19"/>
      <c r="D3" s="19"/>
      <c r="E3" s="20"/>
      <c r="F3" s="20"/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>
      <c r="A4" s="31" t="s">
        <v>12</v>
      </c>
      <c r="B4" s="24" t="s">
        <v>28</v>
      </c>
      <c r="C4" s="24" t="s">
        <v>29</v>
      </c>
      <c r="D4" s="24" t="s">
        <v>30</v>
      </c>
      <c r="E4" s="25" t="s">
        <v>31</v>
      </c>
      <c r="F4" s="25" t="s">
        <v>32</v>
      </c>
      <c r="G4" s="25" t="s">
        <v>33</v>
      </c>
      <c r="H4" s="26" t="s">
        <v>34</v>
      </c>
      <c r="I4" s="26" t="s">
        <v>35</v>
      </c>
      <c r="J4" s="26" t="s">
        <v>36</v>
      </c>
      <c r="K4" s="27" t="s">
        <v>37</v>
      </c>
      <c r="L4" s="27" t="s">
        <v>37</v>
      </c>
      <c r="M4" s="27" t="s">
        <v>37</v>
      </c>
      <c r="N4" s="41" t="s">
        <v>38</v>
      </c>
      <c r="O4" s="41" t="s">
        <v>39</v>
      </c>
      <c r="P4" s="41" t="s">
        <v>40</v>
      </c>
      <c r="Q4" s="29" t="s">
        <v>41</v>
      </c>
      <c r="R4" s="29" t="s">
        <v>42</v>
      </c>
      <c r="S4" s="29" t="s">
        <v>42</v>
      </c>
    </row>
    <row r="5">
      <c r="A5" s="42"/>
      <c r="B5" s="42"/>
      <c r="C5" s="42"/>
      <c r="D5" s="42"/>
      <c r="E5" s="42"/>
      <c r="F5" s="42"/>
      <c r="G5" s="42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>
      <c r="A6" s="18" t="s">
        <v>14</v>
      </c>
      <c r="B6" s="19"/>
      <c r="C6" s="19"/>
      <c r="D6" s="19"/>
      <c r="E6" s="20"/>
      <c r="F6" s="20"/>
      <c r="G6" s="21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>
      <c r="A7" s="31" t="s">
        <v>12</v>
      </c>
      <c r="B7" s="37" t="s">
        <v>43</v>
      </c>
      <c r="C7" s="37" t="s">
        <v>44</v>
      </c>
      <c r="D7" s="37" t="s">
        <v>45</v>
      </c>
      <c r="E7" s="38" t="s">
        <v>46</v>
      </c>
      <c r="F7" s="38" t="s">
        <v>47</v>
      </c>
      <c r="G7" s="38" t="s">
        <v>48</v>
      </c>
      <c r="H7" s="26" t="s">
        <v>49</v>
      </c>
      <c r="I7" s="26" t="s">
        <v>50</v>
      </c>
      <c r="J7" s="26" t="s">
        <v>51</v>
      </c>
      <c r="K7" s="27" t="s">
        <v>37</v>
      </c>
      <c r="L7" s="27" t="s">
        <v>37</v>
      </c>
      <c r="M7" s="27" t="s">
        <v>37</v>
      </c>
      <c r="N7" s="30" t="s">
        <v>52</v>
      </c>
      <c r="O7" s="30" t="s">
        <v>53</v>
      </c>
      <c r="P7" s="30" t="s">
        <v>54</v>
      </c>
      <c r="Q7" s="29" t="s">
        <v>55</v>
      </c>
      <c r="R7" s="29" t="s">
        <v>55</v>
      </c>
      <c r="S7" s="29" t="s">
        <v>56</v>
      </c>
    </row>
    <row r="8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</row>
    <row r="9">
      <c r="A9" s="18" t="s">
        <v>18</v>
      </c>
      <c r="B9" s="19"/>
      <c r="C9" s="19"/>
      <c r="D9" s="19"/>
      <c r="E9" s="20"/>
      <c r="F9" s="20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>
      <c r="A10" s="31" t="s">
        <v>12</v>
      </c>
      <c r="B10" s="37" t="s">
        <v>57</v>
      </c>
      <c r="C10" s="37" t="s">
        <v>58</v>
      </c>
      <c r="D10" s="37" t="s">
        <v>59</v>
      </c>
      <c r="E10" s="38" t="s">
        <v>60</v>
      </c>
      <c r="F10" s="38" t="s">
        <v>46</v>
      </c>
      <c r="G10" s="38" t="s">
        <v>48</v>
      </c>
      <c r="H10" s="26" t="s">
        <v>61</v>
      </c>
      <c r="I10" s="26" t="s">
        <v>62</v>
      </c>
      <c r="J10" s="26" t="s">
        <v>63</v>
      </c>
      <c r="K10" s="27" t="s">
        <v>64</v>
      </c>
      <c r="L10" s="27" t="s">
        <v>37</v>
      </c>
      <c r="M10" s="27" t="s">
        <v>37</v>
      </c>
      <c r="N10" s="30" t="s">
        <v>65</v>
      </c>
      <c r="O10" s="30" t="s">
        <v>66</v>
      </c>
      <c r="P10" s="30" t="s">
        <v>67</v>
      </c>
      <c r="Q10" s="29" t="s">
        <v>56</v>
      </c>
      <c r="R10" s="29" t="s">
        <v>68</v>
      </c>
      <c r="S10" s="29" t="s">
        <v>56</v>
      </c>
    </row>
    <row r="11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>
      <c r="A12" s="18" t="s">
        <v>22</v>
      </c>
      <c r="B12" s="19"/>
      <c r="C12" s="19"/>
      <c r="D12" s="19"/>
      <c r="E12" s="20"/>
      <c r="F12" s="20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>
      <c r="A13" s="31" t="s">
        <v>12</v>
      </c>
      <c r="B13" s="24" t="s">
        <v>69</v>
      </c>
      <c r="C13" s="24" t="s">
        <v>70</v>
      </c>
      <c r="D13" s="24" t="s">
        <v>71</v>
      </c>
      <c r="E13" s="25" t="s">
        <v>47</v>
      </c>
      <c r="F13" s="25" t="s">
        <v>47</v>
      </c>
      <c r="G13" s="25" t="s">
        <v>72</v>
      </c>
      <c r="H13" s="26" t="s">
        <v>73</v>
      </c>
      <c r="I13" s="26" t="s">
        <v>74</v>
      </c>
      <c r="J13" s="26" t="s">
        <v>75</v>
      </c>
      <c r="K13" s="27" t="s">
        <v>76</v>
      </c>
      <c r="L13" s="27" t="s">
        <v>76</v>
      </c>
      <c r="M13" s="27" t="s">
        <v>76</v>
      </c>
      <c r="N13" s="30" t="s">
        <v>77</v>
      </c>
      <c r="O13" s="30" t="s">
        <v>78</v>
      </c>
      <c r="P13" s="30" t="s">
        <v>79</v>
      </c>
      <c r="Q13" s="29" t="s">
        <v>80</v>
      </c>
      <c r="R13" s="29" t="s">
        <v>81</v>
      </c>
      <c r="S13" s="29" t="s">
        <v>82</v>
      </c>
    </row>
    <row r="14">
      <c r="A14" s="4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Q15" s="36"/>
      <c r="R15" s="36"/>
      <c r="S15" s="36"/>
    </row>
    <row r="16">
      <c r="A16" s="46" t="s">
        <v>83</v>
      </c>
      <c r="B16" s="47" t="s">
        <v>1</v>
      </c>
      <c r="C16" s="3"/>
      <c r="D16" s="4"/>
      <c r="E16" s="48" t="s">
        <v>2</v>
      </c>
      <c r="F16" s="3"/>
      <c r="G16" s="4"/>
      <c r="H16" s="49" t="s">
        <v>3</v>
      </c>
      <c r="I16" s="3"/>
      <c r="J16" s="4"/>
      <c r="K16" s="50" t="s">
        <v>4</v>
      </c>
      <c r="L16" s="3"/>
      <c r="M16" s="4"/>
      <c r="N16" s="51" t="s">
        <v>5</v>
      </c>
      <c r="O16" s="3"/>
      <c r="P16" s="4"/>
      <c r="Q16" s="52" t="s">
        <v>6</v>
      </c>
      <c r="R16" s="3"/>
      <c r="S16" s="4"/>
    </row>
    <row r="17">
      <c r="A17" s="53" t="s">
        <v>7</v>
      </c>
      <c r="B17" s="54">
        <v>4096.0</v>
      </c>
      <c r="C17" s="54">
        <v>8192.0</v>
      </c>
      <c r="D17" s="54">
        <v>16384.0</v>
      </c>
      <c r="E17" s="55">
        <v>4096.0</v>
      </c>
      <c r="F17" s="55">
        <v>8192.0</v>
      </c>
      <c r="G17" s="55">
        <v>16384.0</v>
      </c>
      <c r="H17" s="56">
        <v>4096.0</v>
      </c>
      <c r="I17" s="56">
        <v>8192.0</v>
      </c>
      <c r="J17" s="56">
        <v>16384.0</v>
      </c>
      <c r="K17" s="57">
        <v>4096.0</v>
      </c>
      <c r="L17" s="57">
        <v>8192.0</v>
      </c>
      <c r="M17" s="57">
        <v>16384.0</v>
      </c>
      <c r="N17" s="58">
        <v>4096.0</v>
      </c>
      <c r="O17" s="58">
        <v>8192.0</v>
      </c>
      <c r="P17" s="58">
        <v>16384.0</v>
      </c>
      <c r="Q17" s="59">
        <v>4096.0</v>
      </c>
      <c r="R17" s="59">
        <v>8192.0</v>
      </c>
      <c r="S17" s="59">
        <v>16384.0</v>
      </c>
    </row>
    <row r="18">
      <c r="A18" s="60" t="s">
        <v>8</v>
      </c>
      <c r="B18" s="61"/>
      <c r="C18" s="61"/>
      <c r="D18" s="61"/>
      <c r="E18" s="62"/>
      <c r="F18" s="62"/>
      <c r="G18" s="63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</row>
    <row r="19">
      <c r="A19" s="65" t="s">
        <v>12</v>
      </c>
      <c r="B19" s="66" t="s">
        <v>84</v>
      </c>
      <c r="C19" s="66" t="s">
        <v>85</v>
      </c>
      <c r="D19" s="66" t="s">
        <v>86</v>
      </c>
      <c r="E19" s="67" t="s">
        <v>47</v>
      </c>
      <c r="F19" s="67" t="s">
        <v>87</v>
      </c>
      <c r="G19" s="67" t="s">
        <v>47</v>
      </c>
      <c r="H19" s="68" t="s">
        <v>88</v>
      </c>
      <c r="I19" s="68" t="s">
        <v>89</v>
      </c>
      <c r="J19" s="68" t="s">
        <v>90</v>
      </c>
      <c r="K19" s="69" t="s">
        <v>91</v>
      </c>
      <c r="L19" s="69" t="s">
        <v>37</v>
      </c>
      <c r="M19" s="69" t="s">
        <v>37</v>
      </c>
      <c r="N19" s="70" t="s">
        <v>92</v>
      </c>
      <c r="O19" s="70" t="s">
        <v>93</v>
      </c>
      <c r="P19" s="70" t="s">
        <v>94</v>
      </c>
      <c r="Q19" s="71" t="s">
        <v>95</v>
      </c>
      <c r="R19" s="71" t="s">
        <v>96</v>
      </c>
      <c r="S19" s="71" t="s">
        <v>96</v>
      </c>
    </row>
    <row r="20">
      <c r="A20" s="72"/>
      <c r="B20" s="72"/>
      <c r="C20" s="72"/>
      <c r="D20" s="72"/>
      <c r="E20" s="72"/>
      <c r="F20" s="72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</row>
    <row r="21">
      <c r="A21" s="60" t="s">
        <v>14</v>
      </c>
      <c r="B21" s="61"/>
      <c r="C21" s="61"/>
      <c r="D21" s="61"/>
      <c r="E21" s="62"/>
      <c r="F21" s="62"/>
      <c r="G21" s="63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</row>
    <row r="22">
      <c r="A22" s="65" t="s">
        <v>12</v>
      </c>
      <c r="B22" s="74" t="s">
        <v>97</v>
      </c>
      <c r="C22" s="74" t="s">
        <v>98</v>
      </c>
      <c r="D22" s="74" t="s">
        <v>99</v>
      </c>
      <c r="E22" s="75" t="s">
        <v>47</v>
      </c>
      <c r="F22" s="75" t="s">
        <v>87</v>
      </c>
      <c r="G22" s="75" t="s">
        <v>100</v>
      </c>
      <c r="H22" s="68" t="s">
        <v>101</v>
      </c>
      <c r="I22" s="68" t="s">
        <v>102</v>
      </c>
      <c r="J22" s="68" t="s">
        <v>103</v>
      </c>
      <c r="K22" s="69" t="s">
        <v>37</v>
      </c>
      <c r="L22" s="69" t="s">
        <v>37</v>
      </c>
      <c r="M22" s="69" t="s">
        <v>37</v>
      </c>
      <c r="N22" s="70" t="s">
        <v>104</v>
      </c>
      <c r="O22" s="70" t="s">
        <v>105</v>
      </c>
      <c r="P22" s="70" t="s">
        <v>106</v>
      </c>
      <c r="Q22" s="71" t="s">
        <v>55</v>
      </c>
      <c r="R22" s="71" t="s">
        <v>55</v>
      </c>
      <c r="S22" s="71" t="s">
        <v>55</v>
      </c>
    </row>
    <row r="23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</row>
    <row r="24">
      <c r="A24" s="60" t="s">
        <v>18</v>
      </c>
      <c r="B24" s="61"/>
      <c r="C24" s="61"/>
      <c r="D24" s="61"/>
      <c r="E24" s="62"/>
      <c r="F24" s="62"/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5">
      <c r="A25" s="65" t="s">
        <v>12</v>
      </c>
      <c r="B25" s="74" t="s">
        <v>107</v>
      </c>
      <c r="C25" s="74" t="s">
        <v>108</v>
      </c>
      <c r="D25" s="74" t="s">
        <v>109</v>
      </c>
      <c r="E25" s="75" t="s">
        <v>87</v>
      </c>
      <c r="F25" s="75" t="s">
        <v>87</v>
      </c>
      <c r="G25" s="75" t="s">
        <v>46</v>
      </c>
      <c r="H25" s="68" t="s">
        <v>110</v>
      </c>
      <c r="I25" s="68" t="s">
        <v>111</v>
      </c>
      <c r="J25" s="68" t="s">
        <v>112</v>
      </c>
      <c r="K25" s="69" t="s">
        <v>37</v>
      </c>
      <c r="L25" s="69" t="s">
        <v>37</v>
      </c>
      <c r="M25" s="69" t="s">
        <v>37</v>
      </c>
      <c r="N25" s="70" t="s">
        <v>113</v>
      </c>
      <c r="O25" s="70" t="s">
        <v>114</v>
      </c>
      <c r="P25" s="70" t="s">
        <v>115</v>
      </c>
      <c r="Q25" s="71" t="s">
        <v>56</v>
      </c>
      <c r="R25" s="71" t="s">
        <v>56</v>
      </c>
      <c r="S25" s="71" t="s">
        <v>56</v>
      </c>
    </row>
    <row r="26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</row>
    <row r="27">
      <c r="A27" s="60" t="s">
        <v>22</v>
      </c>
      <c r="B27" s="61"/>
      <c r="C27" s="61"/>
      <c r="D27" s="61"/>
      <c r="E27" s="62"/>
      <c r="F27" s="62"/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</row>
    <row r="28">
      <c r="A28" s="65" t="s">
        <v>12</v>
      </c>
      <c r="B28" s="66" t="s">
        <v>116</v>
      </c>
      <c r="C28" s="66" t="s">
        <v>117</v>
      </c>
      <c r="D28" s="66" t="s">
        <v>118</v>
      </c>
      <c r="E28" s="67" t="s">
        <v>47</v>
      </c>
      <c r="F28" s="67" t="s">
        <v>47</v>
      </c>
      <c r="G28" s="67" t="s">
        <v>87</v>
      </c>
      <c r="H28" s="68" t="s">
        <v>119</v>
      </c>
      <c r="I28" s="68" t="s">
        <v>120</v>
      </c>
      <c r="J28" s="68" t="s">
        <v>121</v>
      </c>
      <c r="K28" s="69" t="s">
        <v>76</v>
      </c>
      <c r="L28" s="69" t="s">
        <v>76</v>
      </c>
      <c r="M28" s="69" t="s">
        <v>76</v>
      </c>
      <c r="N28" s="70" t="s">
        <v>122</v>
      </c>
      <c r="O28" s="70" t="s">
        <v>123</v>
      </c>
      <c r="P28" s="70" t="s">
        <v>124</v>
      </c>
      <c r="Q28" s="71" t="s">
        <v>125</v>
      </c>
      <c r="R28" s="71" t="s">
        <v>126</v>
      </c>
      <c r="S28" s="71" t="s">
        <v>127</v>
      </c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Q29" s="36"/>
      <c r="R29" s="36"/>
      <c r="S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Q30" s="36"/>
      <c r="R30" s="36"/>
      <c r="S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Q31" s="36"/>
      <c r="R31" s="36"/>
      <c r="S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Q32" s="36"/>
      <c r="R32" s="36"/>
      <c r="S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Q33" s="36"/>
      <c r="R33" s="36"/>
      <c r="S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Q34" s="36"/>
      <c r="R34" s="36"/>
      <c r="S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Q35" s="36"/>
      <c r="R35" s="36"/>
      <c r="S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Q36" s="36"/>
      <c r="R36" s="36"/>
      <c r="S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Q37" s="36"/>
      <c r="R37" s="36"/>
      <c r="S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Q38" s="36"/>
      <c r="R38" s="36"/>
      <c r="S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Q39" s="36"/>
      <c r="R39" s="36"/>
      <c r="S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Q40" s="36"/>
      <c r="R40" s="36"/>
      <c r="S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Q41" s="36"/>
      <c r="R41" s="36"/>
      <c r="S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Q42" s="36"/>
      <c r="R42" s="36"/>
      <c r="S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Q43" s="36"/>
      <c r="R43" s="36"/>
      <c r="S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Q44" s="36"/>
      <c r="R44" s="36"/>
      <c r="S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Q45" s="36"/>
      <c r="R45" s="36"/>
      <c r="S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Q46" s="36"/>
      <c r="R46" s="36"/>
      <c r="S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Q47" s="36"/>
      <c r="R47" s="36"/>
      <c r="S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Q48" s="36"/>
      <c r="R48" s="36"/>
      <c r="S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Q49" s="36"/>
      <c r="R49" s="36"/>
      <c r="S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Q50" s="36"/>
      <c r="R50" s="36"/>
      <c r="S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Q51" s="36"/>
      <c r="R51" s="36"/>
      <c r="S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Q52" s="36"/>
      <c r="R52" s="36"/>
      <c r="S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Q53" s="36"/>
      <c r="R53" s="36"/>
      <c r="S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Q54" s="36"/>
      <c r="R54" s="36"/>
      <c r="S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Q55" s="36"/>
      <c r="R55" s="36"/>
      <c r="S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Q56" s="36"/>
      <c r="R56" s="36"/>
      <c r="S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Q57" s="36"/>
      <c r="R57" s="36"/>
      <c r="S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Q58" s="36"/>
      <c r="R58" s="36"/>
      <c r="S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Q59" s="36"/>
      <c r="R59" s="36"/>
      <c r="S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Q60" s="36"/>
      <c r="R60" s="36"/>
      <c r="S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Q61" s="36"/>
      <c r="R61" s="36"/>
      <c r="S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Q62" s="36"/>
      <c r="R62" s="36"/>
      <c r="S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Q63" s="36"/>
      <c r="R63" s="36"/>
      <c r="S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Q64" s="36"/>
      <c r="R64" s="36"/>
      <c r="S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Q65" s="36"/>
      <c r="R65" s="36"/>
      <c r="S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Q66" s="36"/>
      <c r="R66" s="36"/>
      <c r="S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Q67" s="36"/>
      <c r="R67" s="36"/>
      <c r="S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Q68" s="36"/>
      <c r="R68" s="36"/>
      <c r="S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Q69" s="36"/>
      <c r="R69" s="36"/>
      <c r="S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Q70" s="36"/>
      <c r="R70" s="36"/>
      <c r="S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Q71" s="36"/>
      <c r="R71" s="36"/>
      <c r="S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Q72" s="36"/>
      <c r="R72" s="36"/>
      <c r="S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Q73" s="36"/>
      <c r="R73" s="36"/>
      <c r="S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Q74" s="36"/>
      <c r="R74" s="36"/>
      <c r="S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Q75" s="36"/>
      <c r="R75" s="36"/>
      <c r="S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Q76" s="36"/>
      <c r="R76" s="36"/>
      <c r="S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Q77" s="36"/>
      <c r="R77" s="36"/>
      <c r="S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Q78" s="36"/>
      <c r="R78" s="36"/>
      <c r="S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Q79" s="36"/>
      <c r="R79" s="36"/>
      <c r="S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Q80" s="36"/>
      <c r="R80" s="36"/>
      <c r="S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Q81" s="36"/>
      <c r="R81" s="36"/>
      <c r="S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Q82" s="36"/>
      <c r="R82" s="36"/>
      <c r="S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Q83" s="36"/>
      <c r="R83" s="36"/>
      <c r="S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Q84" s="36"/>
      <c r="R84" s="36"/>
      <c r="S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Q85" s="36"/>
      <c r="R85" s="36"/>
      <c r="S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Q86" s="36"/>
      <c r="R86" s="36"/>
      <c r="S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Q87" s="36"/>
      <c r="R87" s="36"/>
      <c r="S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Q88" s="36"/>
      <c r="R88" s="36"/>
      <c r="S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Q89" s="36"/>
      <c r="R89" s="36"/>
      <c r="S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Q90" s="36"/>
      <c r="R90" s="36"/>
      <c r="S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Q91" s="36"/>
      <c r="R91" s="36"/>
      <c r="S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Q92" s="36"/>
      <c r="R92" s="36"/>
      <c r="S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Q93" s="36"/>
      <c r="R93" s="36"/>
      <c r="S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Q94" s="36"/>
      <c r="R94" s="36"/>
      <c r="S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Q95" s="36"/>
      <c r="R95" s="36"/>
      <c r="S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Q96" s="36"/>
      <c r="R96" s="36"/>
      <c r="S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Q97" s="36"/>
      <c r="R97" s="36"/>
      <c r="S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Q98" s="36"/>
      <c r="R98" s="36"/>
      <c r="S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Q99" s="36"/>
      <c r="R99" s="36"/>
      <c r="S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Q100" s="36"/>
      <c r="R100" s="36"/>
      <c r="S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Q101" s="36"/>
      <c r="R101" s="36"/>
      <c r="S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Q102" s="36"/>
      <c r="R102" s="36"/>
      <c r="S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Q103" s="36"/>
      <c r="R103" s="36"/>
      <c r="S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Q104" s="36"/>
      <c r="R104" s="36"/>
      <c r="S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Q105" s="36"/>
      <c r="R105" s="36"/>
      <c r="S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Q106" s="36"/>
      <c r="R106" s="36"/>
      <c r="S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Q107" s="36"/>
      <c r="R107" s="36"/>
      <c r="S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Q108" s="36"/>
      <c r="R108" s="36"/>
      <c r="S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Q109" s="36"/>
      <c r="R109" s="36"/>
      <c r="S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Q110" s="36"/>
      <c r="R110" s="36"/>
      <c r="S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Q111" s="36"/>
      <c r="R111" s="36"/>
      <c r="S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Q112" s="36"/>
      <c r="R112" s="36"/>
      <c r="S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Q113" s="36"/>
      <c r="R113" s="36"/>
      <c r="S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Q114" s="36"/>
      <c r="R114" s="36"/>
      <c r="S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Q115" s="36"/>
      <c r="R115" s="36"/>
      <c r="S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Q116" s="36"/>
      <c r="R116" s="36"/>
      <c r="S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Q117" s="36"/>
      <c r="R117" s="36"/>
      <c r="S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Q118" s="36"/>
      <c r="R118" s="36"/>
      <c r="S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Q119" s="36"/>
      <c r="R119" s="36"/>
      <c r="S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Q120" s="36"/>
      <c r="R120" s="36"/>
      <c r="S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Q121" s="36"/>
      <c r="R121" s="36"/>
      <c r="S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Q122" s="36"/>
      <c r="R122" s="36"/>
      <c r="S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Q123" s="36"/>
      <c r="R123" s="36"/>
      <c r="S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Q124" s="36"/>
      <c r="R124" s="36"/>
      <c r="S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Q125" s="36"/>
      <c r="R125" s="36"/>
      <c r="S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Q126" s="36"/>
      <c r="R126" s="36"/>
      <c r="S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Q127" s="36"/>
      <c r="R127" s="36"/>
      <c r="S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Q128" s="36"/>
      <c r="R128" s="36"/>
      <c r="S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Q129" s="36"/>
      <c r="R129" s="36"/>
      <c r="S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Q130" s="36"/>
      <c r="R130" s="36"/>
      <c r="S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Q131" s="36"/>
      <c r="R131" s="36"/>
      <c r="S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Q132" s="36"/>
      <c r="R132" s="36"/>
      <c r="S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Q133" s="36"/>
      <c r="R133" s="36"/>
      <c r="S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Q134" s="36"/>
      <c r="R134" s="36"/>
      <c r="S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Q135" s="36"/>
      <c r="R135" s="36"/>
      <c r="S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Q136" s="36"/>
      <c r="R136" s="36"/>
      <c r="S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Q137" s="36"/>
      <c r="R137" s="36"/>
      <c r="S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Q138" s="36"/>
      <c r="R138" s="36"/>
      <c r="S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Q139" s="36"/>
      <c r="R139" s="36"/>
      <c r="S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Q140" s="36"/>
      <c r="R140" s="36"/>
      <c r="S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Q141" s="36"/>
      <c r="R141" s="36"/>
      <c r="S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Q142" s="36"/>
      <c r="R142" s="36"/>
      <c r="S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Q143" s="36"/>
      <c r="R143" s="36"/>
      <c r="S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Q144" s="36"/>
      <c r="R144" s="36"/>
      <c r="S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Q145" s="36"/>
      <c r="R145" s="36"/>
      <c r="S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Q146" s="36"/>
      <c r="R146" s="36"/>
      <c r="S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Q147" s="36"/>
      <c r="R147" s="36"/>
      <c r="S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Q148" s="36"/>
      <c r="R148" s="36"/>
      <c r="S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Q149" s="36"/>
      <c r="R149" s="36"/>
      <c r="S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Q150" s="36"/>
      <c r="R150" s="36"/>
      <c r="S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Q151" s="36"/>
      <c r="R151" s="36"/>
      <c r="S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Q152" s="36"/>
      <c r="R152" s="36"/>
      <c r="S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Q153" s="36"/>
      <c r="R153" s="36"/>
      <c r="S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Q154" s="36"/>
      <c r="R154" s="36"/>
      <c r="S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Q155" s="36"/>
      <c r="R155" s="36"/>
      <c r="S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Q156" s="36"/>
      <c r="R156" s="36"/>
      <c r="S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Q157" s="36"/>
      <c r="R157" s="36"/>
      <c r="S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Q158" s="36"/>
      <c r="R158" s="36"/>
      <c r="S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Q159" s="36"/>
      <c r="R159" s="36"/>
      <c r="S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Q160" s="36"/>
      <c r="R160" s="36"/>
      <c r="S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Q161" s="36"/>
      <c r="R161" s="36"/>
      <c r="S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Q162" s="36"/>
      <c r="R162" s="36"/>
      <c r="S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Q163" s="36"/>
      <c r="R163" s="36"/>
      <c r="S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Q164" s="36"/>
      <c r="R164" s="36"/>
      <c r="S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Q165" s="36"/>
      <c r="R165" s="36"/>
      <c r="S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Q166" s="36"/>
      <c r="R166" s="36"/>
      <c r="S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Q167" s="36"/>
      <c r="R167" s="36"/>
      <c r="S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Q168" s="36"/>
      <c r="R168" s="36"/>
      <c r="S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Q169" s="36"/>
      <c r="R169" s="36"/>
      <c r="S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Q170" s="36"/>
      <c r="R170" s="36"/>
      <c r="S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Q171" s="36"/>
      <c r="R171" s="36"/>
      <c r="S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Q172" s="36"/>
      <c r="R172" s="36"/>
      <c r="S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Q173" s="36"/>
      <c r="R173" s="36"/>
      <c r="S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Q174" s="36"/>
      <c r="R174" s="36"/>
      <c r="S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Q175" s="36"/>
      <c r="R175" s="36"/>
      <c r="S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Q176" s="36"/>
      <c r="R176" s="36"/>
      <c r="S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Q177" s="36"/>
      <c r="R177" s="36"/>
      <c r="S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Q178" s="36"/>
      <c r="R178" s="36"/>
      <c r="S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Q179" s="36"/>
      <c r="R179" s="36"/>
      <c r="S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Q180" s="36"/>
      <c r="R180" s="36"/>
      <c r="S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Q181" s="36"/>
      <c r="R181" s="36"/>
      <c r="S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Q182" s="36"/>
      <c r="R182" s="36"/>
      <c r="S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Q183" s="36"/>
      <c r="R183" s="36"/>
      <c r="S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Q184" s="36"/>
      <c r="R184" s="36"/>
      <c r="S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Q185" s="36"/>
      <c r="R185" s="36"/>
      <c r="S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Q186" s="36"/>
      <c r="R186" s="36"/>
      <c r="S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Q187" s="36"/>
      <c r="R187" s="36"/>
      <c r="S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Q188" s="36"/>
      <c r="R188" s="36"/>
      <c r="S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Q189" s="36"/>
      <c r="R189" s="36"/>
      <c r="S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Q190" s="36"/>
      <c r="R190" s="36"/>
      <c r="S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Q191" s="36"/>
      <c r="R191" s="36"/>
      <c r="S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Q192" s="36"/>
      <c r="R192" s="36"/>
      <c r="S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Q193" s="36"/>
      <c r="R193" s="36"/>
      <c r="S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Q194" s="36"/>
      <c r="R194" s="36"/>
      <c r="S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Q195" s="36"/>
      <c r="R195" s="36"/>
      <c r="S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Q196" s="36"/>
      <c r="R196" s="36"/>
      <c r="S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Q197" s="36"/>
      <c r="R197" s="36"/>
      <c r="S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Q198" s="36"/>
      <c r="R198" s="36"/>
      <c r="S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Q199" s="36"/>
      <c r="R199" s="36"/>
      <c r="S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Q200" s="36"/>
      <c r="R200" s="36"/>
      <c r="S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Q201" s="36"/>
      <c r="R201" s="36"/>
      <c r="S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Q202" s="36"/>
      <c r="R202" s="36"/>
      <c r="S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Q203" s="36"/>
      <c r="R203" s="36"/>
      <c r="S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Q204" s="36"/>
      <c r="R204" s="36"/>
      <c r="S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Q205" s="36"/>
      <c r="R205" s="36"/>
      <c r="S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Q206" s="36"/>
      <c r="R206" s="36"/>
      <c r="S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Q207" s="36"/>
      <c r="R207" s="36"/>
      <c r="S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Q208" s="36"/>
      <c r="R208" s="36"/>
      <c r="S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Q209" s="36"/>
      <c r="R209" s="36"/>
      <c r="S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Q210" s="36"/>
      <c r="R210" s="36"/>
      <c r="S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Q211" s="36"/>
      <c r="R211" s="36"/>
      <c r="S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Q212" s="36"/>
      <c r="R212" s="36"/>
      <c r="S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Q213" s="36"/>
      <c r="R213" s="36"/>
      <c r="S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Q214" s="36"/>
      <c r="R214" s="36"/>
      <c r="S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Q215" s="36"/>
      <c r="R215" s="36"/>
      <c r="S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Q216" s="36"/>
      <c r="R216" s="36"/>
      <c r="S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Q217" s="36"/>
      <c r="R217" s="36"/>
      <c r="S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Q218" s="36"/>
      <c r="R218" s="36"/>
      <c r="S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Q219" s="36"/>
      <c r="R219" s="36"/>
      <c r="S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Q220" s="36"/>
      <c r="R220" s="36"/>
      <c r="S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Q221" s="36"/>
      <c r="R221" s="36"/>
      <c r="S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Q222" s="36"/>
      <c r="R222" s="36"/>
      <c r="S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Q223" s="36"/>
      <c r="R223" s="36"/>
      <c r="S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Q224" s="36"/>
      <c r="R224" s="36"/>
      <c r="S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Q225" s="36"/>
      <c r="R225" s="36"/>
      <c r="S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Q226" s="36"/>
      <c r="R226" s="36"/>
      <c r="S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Q227" s="36"/>
      <c r="R227" s="36"/>
      <c r="S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Q228" s="36"/>
      <c r="R228" s="36"/>
      <c r="S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Q229" s="36"/>
      <c r="R229" s="36"/>
      <c r="S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Q230" s="36"/>
      <c r="R230" s="36"/>
      <c r="S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Q231" s="36"/>
      <c r="R231" s="36"/>
      <c r="S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Q232" s="36"/>
      <c r="R232" s="36"/>
      <c r="S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Q233" s="36"/>
      <c r="R233" s="36"/>
      <c r="S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Q234" s="36"/>
      <c r="R234" s="36"/>
      <c r="S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Q235" s="36"/>
      <c r="R235" s="36"/>
      <c r="S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Q236" s="36"/>
      <c r="R236" s="36"/>
      <c r="S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Q237" s="36"/>
      <c r="R237" s="36"/>
      <c r="S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Q238" s="36"/>
      <c r="R238" s="36"/>
      <c r="S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Q239" s="36"/>
      <c r="R239" s="36"/>
      <c r="S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Q240" s="36"/>
      <c r="R240" s="36"/>
      <c r="S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Q241" s="36"/>
      <c r="R241" s="36"/>
      <c r="S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Q242" s="36"/>
      <c r="R242" s="36"/>
      <c r="S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Q243" s="36"/>
      <c r="R243" s="36"/>
      <c r="S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Q244" s="36"/>
      <c r="R244" s="36"/>
      <c r="S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Q245" s="36"/>
      <c r="R245" s="36"/>
      <c r="S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Q246" s="36"/>
      <c r="R246" s="36"/>
      <c r="S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Q247" s="36"/>
      <c r="R247" s="36"/>
      <c r="S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Q248" s="36"/>
      <c r="R248" s="36"/>
      <c r="S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Q249" s="36"/>
      <c r="R249" s="36"/>
      <c r="S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Q250" s="36"/>
      <c r="R250" s="36"/>
      <c r="S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Q251" s="36"/>
      <c r="R251" s="36"/>
      <c r="S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Q252" s="36"/>
      <c r="R252" s="36"/>
      <c r="S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Q253" s="36"/>
      <c r="R253" s="36"/>
      <c r="S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Q254" s="36"/>
      <c r="R254" s="36"/>
      <c r="S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Q255" s="36"/>
      <c r="R255" s="36"/>
      <c r="S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Q256" s="36"/>
      <c r="R256" s="36"/>
      <c r="S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Q257" s="36"/>
      <c r="R257" s="36"/>
      <c r="S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Q258" s="36"/>
      <c r="R258" s="36"/>
      <c r="S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Q259" s="36"/>
      <c r="R259" s="36"/>
      <c r="S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Q260" s="36"/>
      <c r="R260" s="36"/>
      <c r="S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Q261" s="36"/>
      <c r="R261" s="36"/>
      <c r="S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Q262" s="36"/>
      <c r="R262" s="36"/>
      <c r="S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Q263" s="36"/>
      <c r="R263" s="36"/>
      <c r="S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Q264" s="36"/>
      <c r="R264" s="36"/>
      <c r="S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Q265" s="36"/>
      <c r="R265" s="36"/>
      <c r="S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Q266" s="36"/>
      <c r="R266" s="36"/>
      <c r="S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Q267" s="36"/>
      <c r="R267" s="36"/>
      <c r="S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Q268" s="36"/>
      <c r="R268" s="36"/>
      <c r="S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Q269" s="36"/>
      <c r="R269" s="36"/>
      <c r="S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Q270" s="36"/>
      <c r="R270" s="36"/>
      <c r="S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Q271" s="36"/>
      <c r="R271" s="36"/>
      <c r="S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Q272" s="36"/>
      <c r="R272" s="36"/>
      <c r="S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Q273" s="36"/>
      <c r="R273" s="36"/>
      <c r="S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Q274" s="36"/>
      <c r="R274" s="36"/>
      <c r="S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Q275" s="36"/>
      <c r="R275" s="36"/>
      <c r="S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Q276" s="36"/>
      <c r="R276" s="36"/>
      <c r="S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Q277" s="36"/>
      <c r="R277" s="36"/>
      <c r="S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Q278" s="36"/>
      <c r="R278" s="36"/>
      <c r="S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Q279" s="36"/>
      <c r="R279" s="36"/>
      <c r="S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Q280" s="36"/>
      <c r="R280" s="36"/>
      <c r="S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Q281" s="36"/>
      <c r="R281" s="36"/>
      <c r="S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Q282" s="36"/>
      <c r="R282" s="36"/>
      <c r="S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Q283" s="36"/>
      <c r="R283" s="36"/>
      <c r="S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Q284" s="36"/>
      <c r="R284" s="36"/>
      <c r="S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Q285" s="36"/>
      <c r="R285" s="36"/>
      <c r="S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Q286" s="36"/>
      <c r="R286" s="36"/>
      <c r="S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Q287" s="36"/>
      <c r="R287" s="36"/>
      <c r="S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Q288" s="36"/>
      <c r="R288" s="36"/>
      <c r="S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Q289" s="36"/>
      <c r="R289" s="36"/>
      <c r="S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Q290" s="36"/>
      <c r="R290" s="36"/>
      <c r="S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Q291" s="36"/>
      <c r="R291" s="36"/>
      <c r="S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Q292" s="36"/>
      <c r="R292" s="36"/>
      <c r="S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Q293" s="36"/>
      <c r="R293" s="36"/>
      <c r="S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Q294" s="36"/>
      <c r="R294" s="36"/>
      <c r="S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Q295" s="36"/>
      <c r="R295" s="36"/>
      <c r="S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Q296" s="36"/>
      <c r="R296" s="36"/>
      <c r="S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Q297" s="36"/>
      <c r="R297" s="36"/>
      <c r="S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Q298" s="36"/>
      <c r="R298" s="36"/>
      <c r="S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Q299" s="36"/>
      <c r="R299" s="36"/>
      <c r="S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Q300" s="36"/>
      <c r="R300" s="36"/>
      <c r="S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Q301" s="36"/>
      <c r="R301" s="36"/>
      <c r="S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Q302" s="36"/>
      <c r="R302" s="36"/>
      <c r="S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Q303" s="36"/>
      <c r="R303" s="36"/>
      <c r="S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Q304" s="36"/>
      <c r="R304" s="36"/>
      <c r="S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Q305" s="36"/>
      <c r="R305" s="36"/>
      <c r="S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Q306" s="36"/>
      <c r="R306" s="36"/>
      <c r="S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Q307" s="36"/>
      <c r="R307" s="36"/>
      <c r="S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Q308" s="36"/>
      <c r="R308" s="36"/>
      <c r="S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Q309" s="36"/>
      <c r="R309" s="36"/>
      <c r="S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Q310" s="36"/>
      <c r="R310" s="36"/>
      <c r="S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Q311" s="36"/>
      <c r="R311" s="36"/>
      <c r="S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Q312" s="36"/>
      <c r="R312" s="36"/>
      <c r="S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Q313" s="36"/>
      <c r="R313" s="36"/>
      <c r="S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Q314" s="36"/>
      <c r="R314" s="36"/>
      <c r="S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Q315" s="36"/>
      <c r="R315" s="36"/>
      <c r="S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Q316" s="36"/>
      <c r="R316" s="36"/>
      <c r="S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Q317" s="36"/>
      <c r="R317" s="36"/>
      <c r="S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Q318" s="36"/>
      <c r="R318" s="36"/>
      <c r="S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Q319" s="36"/>
      <c r="R319" s="36"/>
      <c r="S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Q320" s="36"/>
      <c r="R320" s="36"/>
      <c r="S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Q321" s="36"/>
      <c r="R321" s="36"/>
      <c r="S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Q322" s="36"/>
      <c r="R322" s="36"/>
      <c r="S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Q323" s="36"/>
      <c r="R323" s="36"/>
      <c r="S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Q324" s="36"/>
      <c r="R324" s="36"/>
      <c r="S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Q325" s="36"/>
      <c r="R325" s="36"/>
      <c r="S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Q326" s="36"/>
      <c r="R326" s="36"/>
      <c r="S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Q327" s="36"/>
      <c r="R327" s="36"/>
      <c r="S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Q328" s="36"/>
      <c r="R328" s="36"/>
      <c r="S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Q329" s="36"/>
      <c r="R329" s="36"/>
      <c r="S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Q330" s="36"/>
      <c r="R330" s="36"/>
      <c r="S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Q331" s="36"/>
      <c r="R331" s="36"/>
      <c r="S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Q332" s="36"/>
      <c r="R332" s="36"/>
      <c r="S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Q333" s="36"/>
      <c r="R333" s="36"/>
      <c r="S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Q334" s="36"/>
      <c r="R334" s="36"/>
      <c r="S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Q335" s="36"/>
      <c r="R335" s="36"/>
      <c r="S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Q336" s="36"/>
      <c r="R336" s="36"/>
      <c r="S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Q337" s="36"/>
      <c r="R337" s="36"/>
      <c r="S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Q338" s="36"/>
      <c r="R338" s="36"/>
      <c r="S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Q339" s="36"/>
      <c r="R339" s="36"/>
      <c r="S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Q340" s="36"/>
      <c r="R340" s="36"/>
      <c r="S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Q341" s="36"/>
      <c r="R341" s="36"/>
      <c r="S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Q342" s="36"/>
      <c r="R342" s="36"/>
      <c r="S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Q343" s="36"/>
      <c r="R343" s="36"/>
      <c r="S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Q344" s="36"/>
      <c r="R344" s="36"/>
      <c r="S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Q345" s="36"/>
      <c r="R345" s="36"/>
      <c r="S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Q346" s="36"/>
      <c r="R346" s="36"/>
      <c r="S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Q347" s="36"/>
      <c r="R347" s="36"/>
      <c r="S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Q348" s="36"/>
      <c r="R348" s="36"/>
      <c r="S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Q349" s="36"/>
      <c r="R349" s="36"/>
      <c r="S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Q350" s="36"/>
      <c r="R350" s="36"/>
      <c r="S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Q351" s="36"/>
      <c r="R351" s="36"/>
      <c r="S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Q352" s="36"/>
      <c r="R352" s="36"/>
      <c r="S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Q353" s="36"/>
      <c r="R353" s="36"/>
      <c r="S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Q354" s="36"/>
      <c r="R354" s="36"/>
      <c r="S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Q355" s="36"/>
      <c r="R355" s="36"/>
      <c r="S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Q356" s="36"/>
      <c r="R356" s="36"/>
      <c r="S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Q357" s="36"/>
      <c r="R357" s="36"/>
      <c r="S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Q358" s="36"/>
      <c r="R358" s="36"/>
      <c r="S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Q359" s="36"/>
      <c r="R359" s="36"/>
      <c r="S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Q360" s="36"/>
      <c r="R360" s="36"/>
      <c r="S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Q361" s="36"/>
      <c r="R361" s="36"/>
      <c r="S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Q362" s="36"/>
      <c r="R362" s="36"/>
      <c r="S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Q363" s="36"/>
      <c r="R363" s="36"/>
      <c r="S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Q364" s="36"/>
      <c r="R364" s="36"/>
      <c r="S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Q365" s="36"/>
      <c r="R365" s="36"/>
      <c r="S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Q366" s="36"/>
      <c r="R366" s="36"/>
      <c r="S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Q367" s="36"/>
      <c r="R367" s="36"/>
      <c r="S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Q368" s="36"/>
      <c r="R368" s="36"/>
      <c r="S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Q369" s="36"/>
      <c r="R369" s="36"/>
      <c r="S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Q370" s="36"/>
      <c r="R370" s="36"/>
      <c r="S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Q371" s="36"/>
      <c r="R371" s="36"/>
      <c r="S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Q372" s="36"/>
      <c r="R372" s="36"/>
      <c r="S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Q373" s="36"/>
      <c r="R373" s="36"/>
      <c r="S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Q374" s="36"/>
      <c r="R374" s="36"/>
      <c r="S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Q375" s="36"/>
      <c r="R375" s="36"/>
      <c r="S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Q376" s="36"/>
      <c r="R376" s="36"/>
      <c r="S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Q377" s="36"/>
      <c r="R377" s="36"/>
      <c r="S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Q378" s="36"/>
      <c r="R378" s="36"/>
      <c r="S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Q379" s="36"/>
      <c r="R379" s="36"/>
      <c r="S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Q380" s="36"/>
      <c r="R380" s="36"/>
      <c r="S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Q381" s="36"/>
      <c r="R381" s="36"/>
      <c r="S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Q382" s="36"/>
      <c r="R382" s="36"/>
      <c r="S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Q383" s="36"/>
      <c r="R383" s="36"/>
      <c r="S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Q384" s="36"/>
      <c r="R384" s="36"/>
      <c r="S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Q385" s="36"/>
      <c r="R385" s="36"/>
      <c r="S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Q386" s="36"/>
      <c r="R386" s="36"/>
      <c r="S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Q387" s="36"/>
      <c r="R387" s="36"/>
      <c r="S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Q388" s="36"/>
      <c r="R388" s="36"/>
      <c r="S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Q389" s="36"/>
      <c r="R389" s="36"/>
      <c r="S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Q390" s="36"/>
      <c r="R390" s="36"/>
      <c r="S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Q391" s="36"/>
      <c r="R391" s="36"/>
      <c r="S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Q392" s="36"/>
      <c r="R392" s="36"/>
      <c r="S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Q393" s="36"/>
      <c r="R393" s="36"/>
      <c r="S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Q394" s="36"/>
      <c r="R394" s="36"/>
      <c r="S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Q395" s="36"/>
      <c r="R395" s="36"/>
      <c r="S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Q396" s="36"/>
      <c r="R396" s="36"/>
      <c r="S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Q397" s="36"/>
      <c r="R397" s="36"/>
      <c r="S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Q398" s="36"/>
      <c r="R398" s="36"/>
      <c r="S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Q399" s="36"/>
      <c r="R399" s="36"/>
      <c r="S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Q400" s="36"/>
      <c r="R400" s="36"/>
      <c r="S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Q401" s="36"/>
      <c r="R401" s="36"/>
      <c r="S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Q402" s="36"/>
      <c r="R402" s="36"/>
      <c r="S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Q403" s="36"/>
      <c r="R403" s="36"/>
      <c r="S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Q404" s="36"/>
      <c r="R404" s="36"/>
      <c r="S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Q405" s="36"/>
      <c r="R405" s="36"/>
      <c r="S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Q406" s="36"/>
      <c r="R406" s="36"/>
      <c r="S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Q407" s="36"/>
      <c r="R407" s="36"/>
      <c r="S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Q408" s="36"/>
      <c r="R408" s="36"/>
      <c r="S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Q409" s="36"/>
      <c r="R409" s="36"/>
      <c r="S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Q410" s="36"/>
      <c r="R410" s="36"/>
      <c r="S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Q411" s="36"/>
      <c r="R411" s="36"/>
      <c r="S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Q412" s="36"/>
      <c r="R412" s="36"/>
      <c r="S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Q413" s="36"/>
      <c r="R413" s="36"/>
      <c r="S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Q414" s="36"/>
      <c r="R414" s="36"/>
      <c r="S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Q415" s="36"/>
      <c r="R415" s="36"/>
      <c r="S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Q416" s="36"/>
      <c r="R416" s="36"/>
      <c r="S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Q417" s="36"/>
      <c r="R417" s="36"/>
      <c r="S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Q418" s="36"/>
      <c r="R418" s="36"/>
      <c r="S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Q419" s="36"/>
      <c r="R419" s="36"/>
      <c r="S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Q420" s="36"/>
      <c r="R420" s="36"/>
      <c r="S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Q421" s="36"/>
      <c r="R421" s="36"/>
      <c r="S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Q422" s="36"/>
      <c r="R422" s="36"/>
      <c r="S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Q423" s="36"/>
      <c r="R423" s="36"/>
      <c r="S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Q424" s="36"/>
      <c r="R424" s="36"/>
      <c r="S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Q425" s="36"/>
      <c r="R425" s="36"/>
      <c r="S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Q426" s="36"/>
      <c r="R426" s="36"/>
      <c r="S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Q427" s="36"/>
      <c r="R427" s="36"/>
      <c r="S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Q428" s="36"/>
      <c r="R428" s="36"/>
      <c r="S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Q429" s="36"/>
      <c r="R429" s="36"/>
      <c r="S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Q430" s="36"/>
      <c r="R430" s="36"/>
      <c r="S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Q431" s="36"/>
      <c r="R431" s="36"/>
      <c r="S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Q432" s="36"/>
      <c r="R432" s="36"/>
      <c r="S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Q433" s="36"/>
      <c r="R433" s="36"/>
      <c r="S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Q434" s="36"/>
      <c r="R434" s="36"/>
      <c r="S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Q435" s="36"/>
      <c r="R435" s="36"/>
      <c r="S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Q436" s="36"/>
      <c r="R436" s="36"/>
      <c r="S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Q437" s="36"/>
      <c r="R437" s="36"/>
      <c r="S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Q438" s="36"/>
      <c r="R438" s="36"/>
      <c r="S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Q439" s="36"/>
      <c r="R439" s="36"/>
      <c r="S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Q440" s="36"/>
      <c r="R440" s="36"/>
      <c r="S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Q441" s="36"/>
      <c r="R441" s="36"/>
      <c r="S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Q442" s="36"/>
      <c r="R442" s="36"/>
      <c r="S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Q443" s="36"/>
      <c r="R443" s="36"/>
      <c r="S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Q444" s="36"/>
      <c r="R444" s="36"/>
      <c r="S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Q445" s="36"/>
      <c r="R445" s="36"/>
      <c r="S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Q446" s="36"/>
      <c r="R446" s="36"/>
      <c r="S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Q447" s="36"/>
      <c r="R447" s="36"/>
      <c r="S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Q448" s="36"/>
      <c r="R448" s="36"/>
      <c r="S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Q449" s="36"/>
      <c r="R449" s="36"/>
      <c r="S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Q450" s="36"/>
      <c r="R450" s="36"/>
      <c r="S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Q451" s="36"/>
      <c r="R451" s="36"/>
      <c r="S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Q452" s="36"/>
      <c r="R452" s="36"/>
      <c r="S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Q453" s="36"/>
      <c r="R453" s="36"/>
      <c r="S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Q454" s="36"/>
      <c r="R454" s="36"/>
      <c r="S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Q455" s="36"/>
      <c r="R455" s="36"/>
      <c r="S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Q456" s="36"/>
      <c r="R456" s="36"/>
      <c r="S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Q457" s="36"/>
      <c r="R457" s="36"/>
      <c r="S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Q458" s="36"/>
      <c r="R458" s="36"/>
      <c r="S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Q459" s="36"/>
      <c r="R459" s="36"/>
      <c r="S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Q460" s="36"/>
      <c r="R460" s="36"/>
      <c r="S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Q461" s="36"/>
      <c r="R461" s="36"/>
      <c r="S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Q462" s="36"/>
      <c r="R462" s="36"/>
      <c r="S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Q463" s="36"/>
      <c r="R463" s="36"/>
      <c r="S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Q464" s="36"/>
      <c r="R464" s="36"/>
      <c r="S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Q465" s="36"/>
      <c r="R465" s="36"/>
      <c r="S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Q466" s="36"/>
      <c r="R466" s="36"/>
      <c r="S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Q467" s="36"/>
      <c r="R467" s="36"/>
      <c r="S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Q468" s="36"/>
      <c r="R468" s="36"/>
      <c r="S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Q469" s="36"/>
      <c r="R469" s="36"/>
      <c r="S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Q470" s="36"/>
      <c r="R470" s="36"/>
      <c r="S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Q471" s="36"/>
      <c r="R471" s="36"/>
      <c r="S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Q472" s="36"/>
      <c r="R472" s="36"/>
      <c r="S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Q473" s="36"/>
      <c r="R473" s="36"/>
      <c r="S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Q474" s="36"/>
      <c r="R474" s="36"/>
      <c r="S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Q475" s="36"/>
      <c r="R475" s="36"/>
      <c r="S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Q476" s="36"/>
      <c r="R476" s="36"/>
      <c r="S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Q477" s="36"/>
      <c r="R477" s="36"/>
      <c r="S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Q478" s="36"/>
      <c r="R478" s="36"/>
      <c r="S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Q479" s="36"/>
      <c r="R479" s="36"/>
      <c r="S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Q480" s="36"/>
      <c r="R480" s="36"/>
      <c r="S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Q481" s="36"/>
      <c r="R481" s="36"/>
      <c r="S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Q482" s="36"/>
      <c r="R482" s="36"/>
      <c r="S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Q483" s="36"/>
      <c r="R483" s="36"/>
      <c r="S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Q484" s="36"/>
      <c r="R484" s="36"/>
      <c r="S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Q485" s="36"/>
      <c r="R485" s="36"/>
      <c r="S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Q486" s="36"/>
      <c r="R486" s="36"/>
      <c r="S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Q487" s="36"/>
      <c r="R487" s="36"/>
      <c r="S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Q488" s="36"/>
      <c r="R488" s="36"/>
      <c r="S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Q489" s="36"/>
      <c r="R489" s="36"/>
      <c r="S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Q490" s="36"/>
      <c r="R490" s="36"/>
      <c r="S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Q491" s="36"/>
      <c r="R491" s="36"/>
      <c r="S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Q492" s="36"/>
      <c r="R492" s="36"/>
      <c r="S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Q493" s="36"/>
      <c r="R493" s="36"/>
      <c r="S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Q494" s="36"/>
      <c r="R494" s="36"/>
      <c r="S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Q495" s="36"/>
      <c r="R495" s="36"/>
      <c r="S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Q496" s="36"/>
      <c r="R496" s="36"/>
      <c r="S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Q497" s="36"/>
      <c r="R497" s="36"/>
      <c r="S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Q498" s="36"/>
      <c r="R498" s="36"/>
      <c r="S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Q499" s="36"/>
      <c r="R499" s="36"/>
      <c r="S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Q500" s="36"/>
      <c r="R500" s="36"/>
      <c r="S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Q501" s="36"/>
      <c r="R501" s="36"/>
      <c r="S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Q502" s="36"/>
      <c r="R502" s="36"/>
      <c r="S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Q503" s="36"/>
      <c r="R503" s="36"/>
      <c r="S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Q504" s="36"/>
      <c r="R504" s="36"/>
      <c r="S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Q505" s="36"/>
      <c r="R505" s="36"/>
      <c r="S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Q506" s="36"/>
      <c r="R506" s="36"/>
      <c r="S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Q507" s="36"/>
      <c r="R507" s="36"/>
      <c r="S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Q508" s="36"/>
      <c r="R508" s="36"/>
      <c r="S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Q509" s="36"/>
      <c r="R509" s="36"/>
      <c r="S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Q510" s="36"/>
      <c r="R510" s="36"/>
      <c r="S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Q511" s="36"/>
      <c r="R511" s="36"/>
      <c r="S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Q512" s="36"/>
      <c r="R512" s="36"/>
      <c r="S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Q513" s="36"/>
      <c r="R513" s="36"/>
      <c r="S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Q514" s="36"/>
      <c r="R514" s="36"/>
      <c r="S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Q515" s="36"/>
      <c r="R515" s="36"/>
      <c r="S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Q516" s="36"/>
      <c r="R516" s="36"/>
      <c r="S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Q517" s="36"/>
      <c r="R517" s="36"/>
      <c r="S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Q518" s="36"/>
      <c r="R518" s="36"/>
      <c r="S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Q519" s="36"/>
      <c r="R519" s="36"/>
      <c r="S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Q520" s="36"/>
      <c r="R520" s="36"/>
      <c r="S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Q521" s="36"/>
      <c r="R521" s="36"/>
      <c r="S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Q522" s="36"/>
      <c r="R522" s="36"/>
      <c r="S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Q523" s="36"/>
      <c r="R523" s="36"/>
      <c r="S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Q524" s="36"/>
      <c r="R524" s="36"/>
      <c r="S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Q525" s="36"/>
      <c r="R525" s="36"/>
      <c r="S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Q526" s="36"/>
      <c r="R526" s="36"/>
      <c r="S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Q527" s="36"/>
      <c r="R527" s="36"/>
      <c r="S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Q528" s="36"/>
      <c r="R528" s="36"/>
      <c r="S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Q529" s="36"/>
      <c r="R529" s="36"/>
      <c r="S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Q530" s="36"/>
      <c r="R530" s="36"/>
      <c r="S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Q531" s="36"/>
      <c r="R531" s="36"/>
      <c r="S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Q532" s="36"/>
      <c r="R532" s="36"/>
      <c r="S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Q533" s="36"/>
      <c r="R533" s="36"/>
      <c r="S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Q534" s="36"/>
      <c r="R534" s="36"/>
      <c r="S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Q535" s="36"/>
      <c r="R535" s="36"/>
      <c r="S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Q536" s="36"/>
      <c r="R536" s="36"/>
      <c r="S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Q537" s="36"/>
      <c r="R537" s="36"/>
      <c r="S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Q538" s="36"/>
      <c r="R538" s="36"/>
      <c r="S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Q539" s="36"/>
      <c r="R539" s="36"/>
      <c r="S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Q540" s="36"/>
      <c r="R540" s="36"/>
      <c r="S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Q541" s="36"/>
      <c r="R541" s="36"/>
      <c r="S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Q542" s="36"/>
      <c r="R542" s="36"/>
      <c r="S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Q543" s="36"/>
      <c r="R543" s="36"/>
      <c r="S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Q544" s="36"/>
      <c r="R544" s="36"/>
      <c r="S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Q545" s="36"/>
      <c r="R545" s="36"/>
      <c r="S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Q546" s="36"/>
      <c r="R546" s="36"/>
      <c r="S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Q547" s="36"/>
      <c r="R547" s="36"/>
      <c r="S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Q548" s="36"/>
      <c r="R548" s="36"/>
      <c r="S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Q549" s="36"/>
      <c r="R549" s="36"/>
      <c r="S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Q550" s="36"/>
      <c r="R550" s="36"/>
      <c r="S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Q551" s="36"/>
      <c r="R551" s="36"/>
      <c r="S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Q552" s="36"/>
      <c r="R552" s="36"/>
      <c r="S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Q553" s="36"/>
      <c r="R553" s="36"/>
      <c r="S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Q554" s="36"/>
      <c r="R554" s="36"/>
      <c r="S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Q555" s="36"/>
      <c r="R555" s="36"/>
      <c r="S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Q556" s="36"/>
      <c r="R556" s="36"/>
      <c r="S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Q557" s="36"/>
      <c r="R557" s="36"/>
      <c r="S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Q558" s="36"/>
      <c r="R558" s="36"/>
      <c r="S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Q559" s="36"/>
      <c r="R559" s="36"/>
      <c r="S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Q560" s="36"/>
      <c r="R560" s="36"/>
      <c r="S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Q561" s="36"/>
      <c r="R561" s="36"/>
      <c r="S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Q562" s="36"/>
      <c r="R562" s="36"/>
      <c r="S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Q563" s="36"/>
      <c r="R563" s="36"/>
      <c r="S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Q564" s="36"/>
      <c r="R564" s="36"/>
      <c r="S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Q565" s="36"/>
      <c r="R565" s="36"/>
      <c r="S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Q566" s="36"/>
      <c r="R566" s="36"/>
      <c r="S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Q567" s="36"/>
      <c r="R567" s="36"/>
      <c r="S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Q568" s="36"/>
      <c r="R568" s="36"/>
      <c r="S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Q569" s="36"/>
      <c r="R569" s="36"/>
      <c r="S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Q570" s="36"/>
      <c r="R570" s="36"/>
      <c r="S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Q571" s="36"/>
      <c r="R571" s="36"/>
      <c r="S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Q572" s="36"/>
      <c r="R572" s="36"/>
      <c r="S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Q573" s="36"/>
      <c r="R573" s="36"/>
      <c r="S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Q574" s="36"/>
      <c r="R574" s="36"/>
      <c r="S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Q575" s="36"/>
      <c r="R575" s="36"/>
      <c r="S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Q576" s="36"/>
      <c r="R576" s="36"/>
      <c r="S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Q577" s="36"/>
      <c r="R577" s="36"/>
      <c r="S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Q578" s="36"/>
      <c r="R578" s="36"/>
      <c r="S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Q579" s="36"/>
      <c r="R579" s="36"/>
      <c r="S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Q580" s="36"/>
      <c r="R580" s="36"/>
      <c r="S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Q581" s="36"/>
      <c r="R581" s="36"/>
      <c r="S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Q582" s="36"/>
      <c r="R582" s="36"/>
      <c r="S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Q583" s="36"/>
      <c r="R583" s="36"/>
      <c r="S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Q584" s="36"/>
      <c r="R584" s="36"/>
      <c r="S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Q585" s="36"/>
      <c r="R585" s="36"/>
      <c r="S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Q586" s="36"/>
      <c r="R586" s="36"/>
      <c r="S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Q587" s="36"/>
      <c r="R587" s="36"/>
      <c r="S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Q588" s="36"/>
      <c r="R588" s="36"/>
      <c r="S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Q589" s="36"/>
      <c r="R589" s="36"/>
      <c r="S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Q590" s="36"/>
      <c r="R590" s="36"/>
      <c r="S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Q591" s="36"/>
      <c r="R591" s="36"/>
      <c r="S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Q592" s="36"/>
      <c r="R592" s="36"/>
      <c r="S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Q593" s="36"/>
      <c r="R593" s="36"/>
      <c r="S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Q594" s="36"/>
      <c r="R594" s="36"/>
      <c r="S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Q595" s="36"/>
      <c r="R595" s="36"/>
      <c r="S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Q596" s="36"/>
      <c r="R596" s="36"/>
      <c r="S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Q597" s="36"/>
      <c r="R597" s="36"/>
      <c r="S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Q598" s="36"/>
      <c r="R598" s="36"/>
      <c r="S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Q599" s="36"/>
      <c r="R599" s="36"/>
      <c r="S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Q600" s="36"/>
      <c r="R600" s="36"/>
      <c r="S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Q601" s="36"/>
      <c r="R601" s="36"/>
      <c r="S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Q602" s="36"/>
      <c r="R602" s="36"/>
      <c r="S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Q603" s="36"/>
      <c r="R603" s="36"/>
      <c r="S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Q604" s="36"/>
      <c r="R604" s="36"/>
      <c r="S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Q605" s="36"/>
      <c r="R605" s="36"/>
      <c r="S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Q606" s="36"/>
      <c r="R606" s="36"/>
      <c r="S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Q607" s="36"/>
      <c r="R607" s="36"/>
      <c r="S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Q608" s="36"/>
      <c r="R608" s="36"/>
      <c r="S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Q609" s="36"/>
      <c r="R609" s="36"/>
      <c r="S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Q610" s="36"/>
      <c r="R610" s="36"/>
      <c r="S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Q611" s="36"/>
      <c r="R611" s="36"/>
      <c r="S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Q612" s="36"/>
      <c r="R612" s="36"/>
      <c r="S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Q613" s="36"/>
      <c r="R613" s="36"/>
      <c r="S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Q614" s="36"/>
      <c r="R614" s="36"/>
      <c r="S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Q615" s="36"/>
      <c r="R615" s="36"/>
      <c r="S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Q616" s="36"/>
      <c r="R616" s="36"/>
      <c r="S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Q617" s="36"/>
      <c r="R617" s="36"/>
      <c r="S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Q618" s="36"/>
      <c r="R618" s="36"/>
      <c r="S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Q619" s="36"/>
      <c r="R619" s="36"/>
      <c r="S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Q620" s="36"/>
      <c r="R620" s="36"/>
      <c r="S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Q621" s="36"/>
      <c r="R621" s="36"/>
      <c r="S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Q622" s="36"/>
      <c r="R622" s="36"/>
      <c r="S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Q623" s="36"/>
      <c r="R623" s="36"/>
      <c r="S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Q624" s="36"/>
      <c r="R624" s="36"/>
      <c r="S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Q625" s="36"/>
      <c r="R625" s="36"/>
      <c r="S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Q626" s="36"/>
      <c r="R626" s="36"/>
      <c r="S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Q627" s="36"/>
      <c r="R627" s="36"/>
      <c r="S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Q628" s="36"/>
      <c r="R628" s="36"/>
      <c r="S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Q629" s="36"/>
      <c r="R629" s="36"/>
      <c r="S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Q630" s="36"/>
      <c r="R630" s="36"/>
      <c r="S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Q631" s="36"/>
      <c r="R631" s="36"/>
      <c r="S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Q632" s="36"/>
      <c r="R632" s="36"/>
      <c r="S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Q633" s="36"/>
      <c r="R633" s="36"/>
      <c r="S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Q634" s="36"/>
      <c r="R634" s="36"/>
      <c r="S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Q635" s="36"/>
      <c r="R635" s="36"/>
      <c r="S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Q636" s="36"/>
      <c r="R636" s="36"/>
      <c r="S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Q637" s="36"/>
      <c r="R637" s="36"/>
      <c r="S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Q638" s="36"/>
      <c r="R638" s="36"/>
      <c r="S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Q639" s="36"/>
      <c r="R639" s="36"/>
      <c r="S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Q640" s="36"/>
      <c r="R640" s="36"/>
      <c r="S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Q641" s="36"/>
      <c r="R641" s="36"/>
      <c r="S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Q642" s="36"/>
      <c r="R642" s="36"/>
      <c r="S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Q643" s="36"/>
      <c r="R643" s="36"/>
      <c r="S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Q644" s="36"/>
      <c r="R644" s="36"/>
      <c r="S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Q645" s="36"/>
      <c r="R645" s="36"/>
      <c r="S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Q646" s="36"/>
      <c r="R646" s="36"/>
      <c r="S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Q647" s="36"/>
      <c r="R647" s="36"/>
      <c r="S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Q648" s="36"/>
      <c r="R648" s="36"/>
      <c r="S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Q649" s="36"/>
      <c r="R649" s="36"/>
      <c r="S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Q650" s="36"/>
      <c r="R650" s="36"/>
      <c r="S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Q651" s="36"/>
      <c r="R651" s="36"/>
      <c r="S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Q652" s="36"/>
      <c r="R652" s="36"/>
      <c r="S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Q653" s="36"/>
      <c r="R653" s="36"/>
      <c r="S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Q654" s="36"/>
      <c r="R654" s="36"/>
      <c r="S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Q655" s="36"/>
      <c r="R655" s="36"/>
      <c r="S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Q656" s="36"/>
      <c r="R656" s="36"/>
      <c r="S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Q657" s="36"/>
      <c r="R657" s="36"/>
      <c r="S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Q658" s="36"/>
      <c r="R658" s="36"/>
      <c r="S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Q659" s="36"/>
      <c r="R659" s="36"/>
      <c r="S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Q660" s="36"/>
      <c r="R660" s="36"/>
      <c r="S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Q661" s="36"/>
      <c r="R661" s="36"/>
      <c r="S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Q662" s="36"/>
      <c r="R662" s="36"/>
      <c r="S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Q663" s="36"/>
      <c r="R663" s="36"/>
      <c r="S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Q664" s="36"/>
      <c r="R664" s="36"/>
      <c r="S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Q665" s="36"/>
      <c r="R665" s="36"/>
      <c r="S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Q666" s="36"/>
      <c r="R666" s="36"/>
      <c r="S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Q667" s="36"/>
      <c r="R667" s="36"/>
      <c r="S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Q668" s="36"/>
      <c r="R668" s="36"/>
      <c r="S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Q669" s="36"/>
      <c r="R669" s="36"/>
      <c r="S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Q670" s="36"/>
      <c r="R670" s="36"/>
      <c r="S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Q671" s="36"/>
      <c r="R671" s="36"/>
      <c r="S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Q672" s="36"/>
      <c r="R672" s="36"/>
      <c r="S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Q673" s="36"/>
      <c r="R673" s="36"/>
      <c r="S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Q674" s="36"/>
      <c r="R674" s="36"/>
      <c r="S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Q675" s="36"/>
      <c r="R675" s="36"/>
      <c r="S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Q676" s="36"/>
      <c r="R676" s="36"/>
      <c r="S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Q677" s="36"/>
      <c r="R677" s="36"/>
      <c r="S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Q678" s="36"/>
      <c r="R678" s="36"/>
      <c r="S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Q679" s="36"/>
      <c r="R679" s="36"/>
      <c r="S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Q680" s="36"/>
      <c r="R680" s="36"/>
      <c r="S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Q681" s="36"/>
      <c r="R681" s="36"/>
      <c r="S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Q682" s="36"/>
      <c r="R682" s="36"/>
      <c r="S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Q683" s="36"/>
      <c r="R683" s="36"/>
      <c r="S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Q684" s="36"/>
      <c r="R684" s="36"/>
      <c r="S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Q685" s="36"/>
      <c r="R685" s="36"/>
      <c r="S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Q686" s="36"/>
      <c r="R686" s="36"/>
      <c r="S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Q687" s="36"/>
      <c r="R687" s="36"/>
      <c r="S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Q688" s="36"/>
      <c r="R688" s="36"/>
      <c r="S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Q689" s="36"/>
      <c r="R689" s="36"/>
      <c r="S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Q690" s="36"/>
      <c r="R690" s="36"/>
      <c r="S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Q691" s="36"/>
      <c r="R691" s="36"/>
      <c r="S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Q692" s="36"/>
      <c r="R692" s="36"/>
      <c r="S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Q693" s="36"/>
      <c r="R693" s="36"/>
      <c r="S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Q694" s="36"/>
      <c r="R694" s="36"/>
      <c r="S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Q695" s="36"/>
      <c r="R695" s="36"/>
      <c r="S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Q696" s="36"/>
      <c r="R696" s="36"/>
      <c r="S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Q697" s="36"/>
      <c r="R697" s="36"/>
      <c r="S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Q698" s="36"/>
      <c r="R698" s="36"/>
      <c r="S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Q699" s="36"/>
      <c r="R699" s="36"/>
      <c r="S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Q700" s="36"/>
      <c r="R700" s="36"/>
      <c r="S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Q701" s="36"/>
      <c r="R701" s="36"/>
      <c r="S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Q702" s="36"/>
      <c r="R702" s="36"/>
      <c r="S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Q703" s="36"/>
      <c r="R703" s="36"/>
      <c r="S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Q704" s="36"/>
      <c r="R704" s="36"/>
      <c r="S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Q705" s="36"/>
      <c r="R705" s="36"/>
      <c r="S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Q706" s="36"/>
      <c r="R706" s="36"/>
      <c r="S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Q707" s="36"/>
      <c r="R707" s="36"/>
      <c r="S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Q708" s="36"/>
      <c r="R708" s="36"/>
      <c r="S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Q709" s="36"/>
      <c r="R709" s="36"/>
      <c r="S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Q710" s="36"/>
      <c r="R710" s="36"/>
      <c r="S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Q711" s="36"/>
      <c r="R711" s="36"/>
      <c r="S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Q712" s="36"/>
      <c r="R712" s="36"/>
      <c r="S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Q713" s="36"/>
      <c r="R713" s="36"/>
      <c r="S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Q714" s="36"/>
      <c r="R714" s="36"/>
      <c r="S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Q715" s="36"/>
      <c r="R715" s="36"/>
      <c r="S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Q716" s="36"/>
      <c r="R716" s="36"/>
      <c r="S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Q717" s="36"/>
      <c r="R717" s="36"/>
      <c r="S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Q718" s="36"/>
      <c r="R718" s="36"/>
      <c r="S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Q719" s="36"/>
      <c r="R719" s="36"/>
      <c r="S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Q720" s="36"/>
      <c r="R720" s="36"/>
      <c r="S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Q721" s="36"/>
      <c r="R721" s="36"/>
      <c r="S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Q722" s="36"/>
      <c r="R722" s="36"/>
      <c r="S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Q723" s="36"/>
      <c r="R723" s="36"/>
      <c r="S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Q724" s="36"/>
      <c r="R724" s="36"/>
      <c r="S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Q725" s="36"/>
      <c r="R725" s="36"/>
      <c r="S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Q726" s="36"/>
      <c r="R726" s="36"/>
      <c r="S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Q727" s="36"/>
      <c r="R727" s="36"/>
      <c r="S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Q728" s="36"/>
      <c r="R728" s="36"/>
      <c r="S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Q729" s="36"/>
      <c r="R729" s="36"/>
      <c r="S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Q730" s="36"/>
      <c r="R730" s="36"/>
      <c r="S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Q731" s="36"/>
      <c r="R731" s="36"/>
      <c r="S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Q732" s="36"/>
      <c r="R732" s="36"/>
      <c r="S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Q733" s="36"/>
      <c r="R733" s="36"/>
      <c r="S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Q734" s="36"/>
      <c r="R734" s="36"/>
      <c r="S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Q735" s="36"/>
      <c r="R735" s="36"/>
      <c r="S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Q736" s="36"/>
      <c r="R736" s="36"/>
      <c r="S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Q737" s="36"/>
      <c r="R737" s="36"/>
      <c r="S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Q738" s="36"/>
      <c r="R738" s="36"/>
      <c r="S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Q739" s="36"/>
      <c r="R739" s="36"/>
      <c r="S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Q740" s="36"/>
      <c r="R740" s="36"/>
      <c r="S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Q741" s="36"/>
      <c r="R741" s="36"/>
      <c r="S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Q742" s="36"/>
      <c r="R742" s="36"/>
      <c r="S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Q743" s="36"/>
      <c r="R743" s="36"/>
      <c r="S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Q744" s="36"/>
      <c r="R744" s="36"/>
      <c r="S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Q745" s="36"/>
      <c r="R745" s="36"/>
      <c r="S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Q746" s="36"/>
      <c r="R746" s="36"/>
      <c r="S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Q747" s="36"/>
      <c r="R747" s="36"/>
      <c r="S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Q748" s="36"/>
      <c r="R748" s="36"/>
      <c r="S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Q749" s="36"/>
      <c r="R749" s="36"/>
      <c r="S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Q750" s="36"/>
      <c r="R750" s="36"/>
      <c r="S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Q751" s="36"/>
      <c r="R751" s="36"/>
      <c r="S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Q752" s="36"/>
      <c r="R752" s="36"/>
      <c r="S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Q753" s="36"/>
      <c r="R753" s="36"/>
      <c r="S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Q754" s="36"/>
      <c r="R754" s="36"/>
      <c r="S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Q755" s="36"/>
      <c r="R755" s="36"/>
      <c r="S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Q756" s="36"/>
      <c r="R756" s="36"/>
      <c r="S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Q757" s="36"/>
      <c r="R757" s="36"/>
      <c r="S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Q758" s="36"/>
      <c r="R758" s="36"/>
      <c r="S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Q759" s="36"/>
      <c r="R759" s="36"/>
      <c r="S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Q760" s="36"/>
      <c r="R760" s="36"/>
      <c r="S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Q761" s="36"/>
      <c r="R761" s="36"/>
      <c r="S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Q762" s="36"/>
      <c r="R762" s="36"/>
      <c r="S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Q763" s="36"/>
      <c r="R763" s="36"/>
      <c r="S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Q764" s="36"/>
      <c r="R764" s="36"/>
      <c r="S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Q765" s="36"/>
      <c r="R765" s="36"/>
      <c r="S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Q766" s="36"/>
      <c r="R766" s="36"/>
      <c r="S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Q767" s="36"/>
      <c r="R767" s="36"/>
      <c r="S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Q768" s="36"/>
      <c r="R768" s="36"/>
      <c r="S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Q769" s="36"/>
      <c r="R769" s="36"/>
      <c r="S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Q770" s="36"/>
      <c r="R770" s="36"/>
      <c r="S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Q771" s="36"/>
      <c r="R771" s="36"/>
      <c r="S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Q772" s="36"/>
      <c r="R772" s="36"/>
      <c r="S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Q773" s="36"/>
      <c r="R773" s="36"/>
      <c r="S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Q774" s="36"/>
      <c r="R774" s="36"/>
      <c r="S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Q775" s="36"/>
      <c r="R775" s="36"/>
      <c r="S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Q776" s="36"/>
      <c r="R776" s="36"/>
      <c r="S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Q777" s="36"/>
      <c r="R777" s="36"/>
      <c r="S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Q778" s="36"/>
      <c r="R778" s="36"/>
      <c r="S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Q779" s="36"/>
      <c r="R779" s="36"/>
      <c r="S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Q780" s="36"/>
      <c r="R780" s="36"/>
      <c r="S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Q781" s="36"/>
      <c r="R781" s="36"/>
      <c r="S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Q782" s="36"/>
      <c r="R782" s="36"/>
      <c r="S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Q783" s="36"/>
      <c r="R783" s="36"/>
      <c r="S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Q784" s="36"/>
      <c r="R784" s="36"/>
      <c r="S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Q785" s="36"/>
      <c r="R785" s="36"/>
      <c r="S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Q786" s="36"/>
      <c r="R786" s="36"/>
      <c r="S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Q787" s="36"/>
      <c r="R787" s="36"/>
      <c r="S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Q788" s="36"/>
      <c r="R788" s="36"/>
      <c r="S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Q789" s="36"/>
      <c r="R789" s="36"/>
      <c r="S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Q790" s="36"/>
      <c r="R790" s="36"/>
      <c r="S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Q791" s="36"/>
      <c r="R791" s="36"/>
      <c r="S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Q792" s="36"/>
      <c r="R792" s="36"/>
      <c r="S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Q793" s="36"/>
      <c r="R793" s="36"/>
      <c r="S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Q794" s="36"/>
      <c r="R794" s="36"/>
      <c r="S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Q795" s="36"/>
      <c r="R795" s="36"/>
      <c r="S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Q796" s="36"/>
      <c r="R796" s="36"/>
      <c r="S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Q797" s="36"/>
      <c r="R797" s="36"/>
      <c r="S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Q798" s="36"/>
      <c r="R798" s="36"/>
      <c r="S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Q799" s="36"/>
      <c r="R799" s="36"/>
      <c r="S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Q800" s="36"/>
      <c r="R800" s="36"/>
      <c r="S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Q801" s="36"/>
      <c r="R801" s="36"/>
      <c r="S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Q802" s="36"/>
      <c r="R802" s="36"/>
      <c r="S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Q803" s="36"/>
      <c r="R803" s="36"/>
      <c r="S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Q804" s="36"/>
      <c r="R804" s="36"/>
      <c r="S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Q805" s="36"/>
      <c r="R805" s="36"/>
      <c r="S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Q806" s="36"/>
      <c r="R806" s="36"/>
      <c r="S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Q807" s="36"/>
      <c r="R807" s="36"/>
      <c r="S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Q808" s="36"/>
      <c r="R808" s="36"/>
      <c r="S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Q809" s="36"/>
      <c r="R809" s="36"/>
      <c r="S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Q810" s="36"/>
      <c r="R810" s="36"/>
      <c r="S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Q811" s="36"/>
      <c r="R811" s="36"/>
      <c r="S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Q812" s="36"/>
      <c r="R812" s="36"/>
      <c r="S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Q813" s="36"/>
      <c r="R813" s="36"/>
      <c r="S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Q814" s="36"/>
      <c r="R814" s="36"/>
      <c r="S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Q815" s="36"/>
      <c r="R815" s="36"/>
      <c r="S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Q816" s="36"/>
      <c r="R816" s="36"/>
      <c r="S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Q817" s="36"/>
      <c r="R817" s="36"/>
      <c r="S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Q818" s="36"/>
      <c r="R818" s="36"/>
      <c r="S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Q819" s="36"/>
      <c r="R819" s="36"/>
      <c r="S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Q820" s="36"/>
      <c r="R820" s="36"/>
      <c r="S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Q821" s="36"/>
      <c r="R821" s="36"/>
      <c r="S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Q822" s="36"/>
      <c r="R822" s="36"/>
      <c r="S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Q823" s="36"/>
      <c r="R823" s="36"/>
      <c r="S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Q824" s="36"/>
      <c r="R824" s="36"/>
      <c r="S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Q825" s="36"/>
      <c r="R825" s="36"/>
      <c r="S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Q826" s="36"/>
      <c r="R826" s="36"/>
      <c r="S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Q827" s="36"/>
      <c r="R827" s="36"/>
      <c r="S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Q828" s="36"/>
      <c r="R828" s="36"/>
      <c r="S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Q829" s="36"/>
      <c r="R829" s="36"/>
      <c r="S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Q830" s="36"/>
      <c r="R830" s="36"/>
      <c r="S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Q831" s="36"/>
      <c r="R831" s="36"/>
      <c r="S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Q832" s="36"/>
      <c r="R832" s="36"/>
      <c r="S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Q833" s="36"/>
      <c r="R833" s="36"/>
      <c r="S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Q834" s="36"/>
      <c r="R834" s="36"/>
      <c r="S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Q835" s="36"/>
      <c r="R835" s="36"/>
      <c r="S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Q836" s="36"/>
      <c r="R836" s="36"/>
      <c r="S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Q837" s="36"/>
      <c r="R837" s="36"/>
      <c r="S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Q838" s="36"/>
      <c r="R838" s="36"/>
      <c r="S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Q839" s="36"/>
      <c r="R839" s="36"/>
      <c r="S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Q840" s="36"/>
      <c r="R840" s="36"/>
      <c r="S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Q841" s="36"/>
      <c r="R841" s="36"/>
      <c r="S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Q842" s="36"/>
      <c r="R842" s="36"/>
      <c r="S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Q843" s="36"/>
      <c r="R843" s="36"/>
      <c r="S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Q844" s="36"/>
      <c r="R844" s="36"/>
      <c r="S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Q845" s="36"/>
      <c r="R845" s="36"/>
      <c r="S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Q846" s="36"/>
      <c r="R846" s="36"/>
      <c r="S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Q847" s="36"/>
      <c r="R847" s="36"/>
      <c r="S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Q848" s="36"/>
      <c r="R848" s="36"/>
      <c r="S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Q849" s="36"/>
      <c r="R849" s="36"/>
      <c r="S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Q850" s="36"/>
      <c r="R850" s="36"/>
      <c r="S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Q851" s="36"/>
      <c r="R851" s="36"/>
      <c r="S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Q852" s="36"/>
      <c r="R852" s="36"/>
      <c r="S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Q853" s="36"/>
      <c r="R853" s="36"/>
      <c r="S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Q854" s="36"/>
      <c r="R854" s="36"/>
      <c r="S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Q855" s="36"/>
      <c r="R855" s="36"/>
      <c r="S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Q856" s="36"/>
      <c r="R856" s="36"/>
      <c r="S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Q857" s="36"/>
      <c r="R857" s="36"/>
      <c r="S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Q858" s="36"/>
      <c r="R858" s="36"/>
      <c r="S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Q859" s="36"/>
      <c r="R859" s="36"/>
      <c r="S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Q860" s="36"/>
      <c r="R860" s="36"/>
      <c r="S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Q861" s="36"/>
      <c r="R861" s="36"/>
      <c r="S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Q862" s="36"/>
      <c r="R862" s="36"/>
      <c r="S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Q863" s="36"/>
      <c r="R863" s="36"/>
      <c r="S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Q864" s="36"/>
      <c r="R864" s="36"/>
      <c r="S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Q865" s="36"/>
      <c r="R865" s="36"/>
      <c r="S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Q866" s="36"/>
      <c r="R866" s="36"/>
      <c r="S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Q867" s="36"/>
      <c r="R867" s="36"/>
      <c r="S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Q868" s="36"/>
      <c r="R868" s="36"/>
      <c r="S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Q869" s="36"/>
      <c r="R869" s="36"/>
      <c r="S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Q870" s="36"/>
      <c r="R870" s="36"/>
      <c r="S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Q871" s="36"/>
      <c r="R871" s="36"/>
      <c r="S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Q872" s="36"/>
      <c r="R872" s="36"/>
      <c r="S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Q873" s="36"/>
      <c r="R873" s="36"/>
      <c r="S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Q874" s="36"/>
      <c r="R874" s="36"/>
      <c r="S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Q875" s="36"/>
      <c r="R875" s="36"/>
      <c r="S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Q876" s="36"/>
      <c r="R876" s="36"/>
      <c r="S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Q877" s="36"/>
      <c r="R877" s="36"/>
      <c r="S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Q878" s="36"/>
      <c r="R878" s="36"/>
      <c r="S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Q879" s="36"/>
      <c r="R879" s="36"/>
      <c r="S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Q880" s="36"/>
      <c r="R880" s="36"/>
      <c r="S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Q881" s="36"/>
      <c r="R881" s="36"/>
      <c r="S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Q882" s="36"/>
      <c r="R882" s="36"/>
      <c r="S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Q883" s="36"/>
      <c r="R883" s="36"/>
      <c r="S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Q884" s="36"/>
      <c r="R884" s="36"/>
      <c r="S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Q885" s="36"/>
      <c r="R885" s="36"/>
      <c r="S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Q886" s="36"/>
      <c r="R886" s="36"/>
      <c r="S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Q887" s="36"/>
      <c r="R887" s="36"/>
      <c r="S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Q888" s="36"/>
      <c r="R888" s="36"/>
      <c r="S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Q889" s="36"/>
      <c r="R889" s="36"/>
      <c r="S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Q890" s="36"/>
      <c r="R890" s="36"/>
      <c r="S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Q891" s="36"/>
      <c r="R891" s="36"/>
      <c r="S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Q892" s="36"/>
      <c r="R892" s="36"/>
      <c r="S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Q893" s="36"/>
      <c r="R893" s="36"/>
      <c r="S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Q894" s="36"/>
      <c r="R894" s="36"/>
      <c r="S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Q895" s="36"/>
      <c r="R895" s="36"/>
      <c r="S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Q896" s="36"/>
      <c r="R896" s="36"/>
      <c r="S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Q897" s="36"/>
      <c r="R897" s="36"/>
      <c r="S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Q898" s="36"/>
      <c r="R898" s="36"/>
      <c r="S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Q899" s="36"/>
      <c r="R899" s="36"/>
      <c r="S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Q900" s="36"/>
      <c r="R900" s="36"/>
      <c r="S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Q901" s="36"/>
      <c r="R901" s="36"/>
      <c r="S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Q902" s="36"/>
      <c r="R902" s="36"/>
      <c r="S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Q903" s="36"/>
      <c r="R903" s="36"/>
      <c r="S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Q904" s="36"/>
      <c r="R904" s="36"/>
      <c r="S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Q905" s="36"/>
      <c r="R905" s="36"/>
      <c r="S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Q906" s="36"/>
      <c r="R906" s="36"/>
      <c r="S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Q907" s="36"/>
      <c r="R907" s="36"/>
      <c r="S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Q908" s="36"/>
      <c r="R908" s="36"/>
      <c r="S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Q909" s="36"/>
      <c r="R909" s="36"/>
      <c r="S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Q910" s="36"/>
      <c r="R910" s="36"/>
      <c r="S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Q911" s="36"/>
      <c r="R911" s="36"/>
      <c r="S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Q912" s="36"/>
      <c r="R912" s="36"/>
      <c r="S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Q913" s="36"/>
      <c r="R913" s="36"/>
      <c r="S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Q914" s="36"/>
      <c r="R914" s="36"/>
      <c r="S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Q915" s="36"/>
      <c r="R915" s="36"/>
      <c r="S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Q916" s="36"/>
      <c r="R916" s="36"/>
      <c r="S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Q917" s="36"/>
      <c r="R917" s="36"/>
      <c r="S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Q918" s="36"/>
      <c r="R918" s="36"/>
      <c r="S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Q919" s="36"/>
      <c r="R919" s="36"/>
      <c r="S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Q920" s="36"/>
      <c r="R920" s="36"/>
      <c r="S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Q921" s="36"/>
      <c r="R921" s="36"/>
      <c r="S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Q922" s="36"/>
      <c r="R922" s="36"/>
      <c r="S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Q923" s="36"/>
      <c r="R923" s="36"/>
      <c r="S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Q924" s="36"/>
      <c r="R924" s="36"/>
      <c r="S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Q925" s="36"/>
      <c r="R925" s="36"/>
      <c r="S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Q926" s="36"/>
      <c r="R926" s="36"/>
      <c r="S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Q927" s="36"/>
      <c r="R927" s="36"/>
      <c r="S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Q928" s="36"/>
      <c r="R928" s="36"/>
      <c r="S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Q929" s="36"/>
      <c r="R929" s="36"/>
      <c r="S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Q930" s="36"/>
      <c r="R930" s="36"/>
      <c r="S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Q931" s="36"/>
      <c r="R931" s="36"/>
      <c r="S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Q932" s="36"/>
      <c r="R932" s="36"/>
      <c r="S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Q933" s="36"/>
      <c r="R933" s="36"/>
      <c r="S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Q934" s="36"/>
      <c r="R934" s="36"/>
      <c r="S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Q935" s="36"/>
      <c r="R935" s="36"/>
      <c r="S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Q936" s="36"/>
      <c r="R936" s="36"/>
      <c r="S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Q937" s="36"/>
      <c r="R937" s="36"/>
      <c r="S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Q938" s="36"/>
      <c r="R938" s="36"/>
      <c r="S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Q939" s="36"/>
      <c r="R939" s="36"/>
      <c r="S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Q940" s="36"/>
      <c r="R940" s="36"/>
      <c r="S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Q941" s="36"/>
      <c r="R941" s="36"/>
      <c r="S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Q942" s="36"/>
      <c r="R942" s="36"/>
      <c r="S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Q943" s="36"/>
      <c r="R943" s="36"/>
      <c r="S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Q944" s="36"/>
      <c r="R944" s="36"/>
      <c r="S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Q945" s="36"/>
      <c r="R945" s="36"/>
      <c r="S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Q946" s="36"/>
      <c r="R946" s="36"/>
      <c r="S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Q947" s="36"/>
      <c r="R947" s="36"/>
      <c r="S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Q948" s="36"/>
      <c r="R948" s="36"/>
      <c r="S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Q949" s="36"/>
      <c r="R949" s="36"/>
      <c r="S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Q950" s="36"/>
      <c r="R950" s="36"/>
      <c r="S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Q951" s="36"/>
      <c r="R951" s="36"/>
      <c r="S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Q952" s="36"/>
      <c r="R952" s="36"/>
      <c r="S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Q953" s="36"/>
      <c r="R953" s="36"/>
      <c r="S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Q954" s="36"/>
      <c r="R954" s="36"/>
      <c r="S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Q955" s="36"/>
      <c r="R955" s="36"/>
      <c r="S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Q956" s="36"/>
      <c r="R956" s="36"/>
      <c r="S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Q957" s="36"/>
      <c r="R957" s="36"/>
      <c r="S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Q958" s="36"/>
      <c r="R958" s="36"/>
      <c r="S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Q959" s="36"/>
      <c r="R959" s="36"/>
      <c r="S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Q960" s="36"/>
      <c r="R960" s="36"/>
      <c r="S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Q961" s="36"/>
      <c r="R961" s="36"/>
      <c r="S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Q962" s="36"/>
      <c r="R962" s="36"/>
      <c r="S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Q963" s="36"/>
      <c r="R963" s="36"/>
      <c r="S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Q964" s="36"/>
      <c r="R964" s="36"/>
      <c r="S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Q965" s="36"/>
      <c r="R965" s="36"/>
      <c r="S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Q966" s="36"/>
      <c r="R966" s="36"/>
      <c r="S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Q967" s="36"/>
      <c r="R967" s="36"/>
      <c r="S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Q968" s="36"/>
      <c r="R968" s="36"/>
      <c r="S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Q969" s="36"/>
      <c r="R969" s="36"/>
      <c r="S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Q970" s="36"/>
      <c r="R970" s="36"/>
      <c r="S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Q971" s="36"/>
      <c r="R971" s="36"/>
      <c r="S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Q972" s="36"/>
      <c r="R972" s="36"/>
      <c r="S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Q973" s="36"/>
      <c r="R973" s="36"/>
      <c r="S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Q974" s="36"/>
      <c r="R974" s="36"/>
      <c r="S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Q975" s="36"/>
      <c r="R975" s="36"/>
      <c r="S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Q976" s="36"/>
      <c r="R976" s="36"/>
      <c r="S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Q977" s="36"/>
      <c r="R977" s="36"/>
      <c r="S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Q978" s="36"/>
      <c r="R978" s="36"/>
      <c r="S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Q979" s="36"/>
      <c r="R979" s="36"/>
      <c r="S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Q980" s="36"/>
      <c r="R980" s="36"/>
      <c r="S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Q981" s="36"/>
      <c r="R981" s="36"/>
      <c r="S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Q982" s="36"/>
      <c r="R982" s="36"/>
      <c r="S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Q983" s="36"/>
      <c r="R983" s="36"/>
      <c r="S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Q984" s="36"/>
      <c r="R984" s="36"/>
      <c r="S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Q985" s="36"/>
      <c r="R985" s="36"/>
      <c r="S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Q986" s="36"/>
      <c r="R986" s="36"/>
      <c r="S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Q987" s="36"/>
      <c r="R987" s="36"/>
      <c r="S987" s="36"/>
    </row>
  </sheetData>
  <mergeCells count="12">
    <mergeCell ref="E16:G16"/>
    <mergeCell ref="H16:J16"/>
    <mergeCell ref="K16:M16"/>
    <mergeCell ref="N16:P16"/>
    <mergeCell ref="B1:D1"/>
    <mergeCell ref="E1:G1"/>
    <mergeCell ref="H1:J1"/>
    <mergeCell ref="K1:M1"/>
    <mergeCell ref="N1:P1"/>
    <mergeCell ref="Q1:S1"/>
    <mergeCell ref="B16:D16"/>
    <mergeCell ref="Q16:S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75"/>
    <col customWidth="1" min="2" max="3" width="8.5"/>
    <col customWidth="1" min="4" max="5" width="7.5"/>
    <col customWidth="1" min="6" max="7" width="7.25"/>
    <col customWidth="1" min="8" max="9" width="10.0"/>
    <col customWidth="1" min="10" max="11" width="10.25"/>
    <col customWidth="1" min="12" max="13" width="8.38"/>
    <col customWidth="1" min="14" max="15" width="11.75"/>
  </cols>
  <sheetData>
    <row r="1">
      <c r="A1" s="1" t="s">
        <v>128</v>
      </c>
      <c r="B1" s="2" t="s">
        <v>129</v>
      </c>
      <c r="C1" s="3"/>
      <c r="D1" s="3"/>
      <c r="E1" s="3"/>
      <c r="F1" s="3"/>
      <c r="G1" s="4"/>
      <c r="H1" s="5" t="s">
        <v>130</v>
      </c>
      <c r="I1" s="3"/>
      <c r="J1" s="3"/>
      <c r="K1" s="3"/>
      <c r="L1" s="3"/>
      <c r="M1" s="4"/>
      <c r="N1" s="6" t="s">
        <v>131</v>
      </c>
      <c r="O1" s="3"/>
      <c r="P1" s="3"/>
      <c r="Q1" s="3"/>
      <c r="R1" s="3"/>
      <c r="S1" s="4"/>
      <c r="T1" s="7" t="s">
        <v>132</v>
      </c>
      <c r="U1" s="3"/>
      <c r="V1" s="3"/>
      <c r="W1" s="3"/>
      <c r="X1" s="3"/>
      <c r="Y1" s="4"/>
      <c r="Z1" s="8" t="s">
        <v>133</v>
      </c>
      <c r="AA1" s="3"/>
      <c r="AB1" s="3"/>
      <c r="AC1" s="3"/>
      <c r="AD1" s="3"/>
      <c r="AE1" s="4"/>
      <c r="AF1" s="9" t="s">
        <v>134</v>
      </c>
      <c r="AG1" s="3"/>
      <c r="AH1" s="3"/>
      <c r="AI1" s="3"/>
      <c r="AJ1" s="3"/>
      <c r="AK1" s="4"/>
    </row>
    <row r="2">
      <c r="A2" s="10" t="s">
        <v>7</v>
      </c>
      <c r="B2" s="78">
        <v>4096.0</v>
      </c>
      <c r="C2" s="4"/>
      <c r="D2" s="78">
        <v>8192.0</v>
      </c>
      <c r="E2" s="4"/>
      <c r="F2" s="78">
        <v>16384.0</v>
      </c>
      <c r="G2" s="4"/>
      <c r="H2" s="79">
        <v>4096.0</v>
      </c>
      <c r="I2" s="4"/>
      <c r="J2" s="79">
        <v>8192.0</v>
      </c>
      <c r="K2" s="4"/>
      <c r="L2" s="79">
        <v>16384.0</v>
      </c>
      <c r="M2" s="4"/>
      <c r="N2" s="80">
        <v>4096.0</v>
      </c>
      <c r="O2" s="4"/>
      <c r="P2" s="80">
        <v>8192.0</v>
      </c>
      <c r="Q2" s="4"/>
      <c r="R2" s="80">
        <v>16384.0</v>
      </c>
      <c r="S2" s="4"/>
      <c r="T2" s="81">
        <v>4096.0</v>
      </c>
      <c r="U2" s="4"/>
      <c r="V2" s="81">
        <v>8192.0</v>
      </c>
      <c r="W2" s="4"/>
      <c r="X2" s="81">
        <v>16384.0</v>
      </c>
      <c r="Y2" s="4"/>
      <c r="Z2" s="82">
        <v>4096.0</v>
      </c>
      <c r="AA2" s="4"/>
      <c r="AB2" s="82">
        <v>8192.0</v>
      </c>
      <c r="AC2" s="4"/>
      <c r="AD2" s="82">
        <v>16384.0</v>
      </c>
      <c r="AE2" s="4"/>
      <c r="AF2" s="83">
        <v>4096.0</v>
      </c>
      <c r="AG2" s="4"/>
      <c r="AH2" s="83">
        <v>8192.0</v>
      </c>
      <c r="AI2" s="4"/>
      <c r="AJ2" s="83">
        <v>16384.0</v>
      </c>
      <c r="AK2" s="4"/>
      <c r="AL2" s="17"/>
      <c r="AM2" s="17"/>
      <c r="AN2" s="17"/>
      <c r="AO2" s="17"/>
      <c r="AP2" s="17"/>
      <c r="AQ2" s="17"/>
      <c r="AR2" s="17"/>
    </row>
    <row r="3">
      <c r="A3" s="10"/>
      <c r="B3" s="11" t="s">
        <v>135</v>
      </c>
      <c r="C3" s="11" t="s">
        <v>136</v>
      </c>
      <c r="D3" s="11" t="s">
        <v>135</v>
      </c>
      <c r="E3" s="11" t="s">
        <v>136</v>
      </c>
      <c r="F3" s="11" t="s">
        <v>135</v>
      </c>
      <c r="G3" s="11" t="s">
        <v>136</v>
      </c>
      <c r="H3" s="12" t="s">
        <v>135</v>
      </c>
      <c r="I3" s="12" t="s">
        <v>136</v>
      </c>
      <c r="J3" s="12" t="s">
        <v>135</v>
      </c>
      <c r="K3" s="12" t="s">
        <v>136</v>
      </c>
      <c r="L3" s="12" t="s">
        <v>135</v>
      </c>
      <c r="M3" s="12" t="s">
        <v>136</v>
      </c>
      <c r="N3" s="13" t="s">
        <v>135</v>
      </c>
      <c r="O3" s="13" t="s">
        <v>136</v>
      </c>
      <c r="P3" s="13" t="s">
        <v>135</v>
      </c>
      <c r="Q3" s="13" t="s">
        <v>136</v>
      </c>
      <c r="R3" s="13" t="s">
        <v>135</v>
      </c>
      <c r="S3" s="13" t="s">
        <v>136</v>
      </c>
      <c r="T3" s="14" t="s">
        <v>135</v>
      </c>
      <c r="U3" s="14" t="s">
        <v>136</v>
      </c>
      <c r="V3" s="14" t="s">
        <v>135</v>
      </c>
      <c r="W3" s="14" t="s">
        <v>136</v>
      </c>
      <c r="X3" s="14" t="s">
        <v>135</v>
      </c>
      <c r="Y3" s="14" t="s">
        <v>136</v>
      </c>
      <c r="Z3" s="15" t="s">
        <v>135</v>
      </c>
      <c r="AA3" s="15" t="s">
        <v>136</v>
      </c>
      <c r="AB3" s="15" t="s">
        <v>135</v>
      </c>
      <c r="AC3" s="15" t="s">
        <v>136</v>
      </c>
      <c r="AD3" s="15" t="s">
        <v>135</v>
      </c>
      <c r="AE3" s="15" t="s">
        <v>136</v>
      </c>
      <c r="AF3" s="16" t="s">
        <v>135</v>
      </c>
      <c r="AG3" s="16" t="s">
        <v>136</v>
      </c>
      <c r="AH3" s="16" t="s">
        <v>135</v>
      </c>
      <c r="AI3" s="16" t="s">
        <v>136</v>
      </c>
      <c r="AJ3" s="16" t="s">
        <v>135</v>
      </c>
      <c r="AK3" s="16" t="s">
        <v>136</v>
      </c>
      <c r="AL3" s="17"/>
      <c r="AM3" s="17"/>
      <c r="AN3" s="17"/>
      <c r="AO3" s="17"/>
      <c r="AP3" s="17"/>
      <c r="AQ3" s="17"/>
      <c r="AR3" s="17"/>
    </row>
    <row r="4">
      <c r="A4" s="18" t="s">
        <v>8</v>
      </c>
      <c r="B4" s="19"/>
      <c r="C4" s="19"/>
      <c r="D4" s="19"/>
      <c r="E4" s="19"/>
      <c r="F4" s="19"/>
      <c r="G4" s="19"/>
      <c r="H4" s="20"/>
      <c r="I4" s="20"/>
      <c r="J4" s="20"/>
      <c r="K4" s="20"/>
      <c r="L4" s="21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>
      <c r="A5" s="23" t="s">
        <v>9</v>
      </c>
      <c r="B5" s="24">
        <v>3.0</v>
      </c>
      <c r="C5" s="24">
        <v>3.0</v>
      </c>
      <c r="D5" s="24">
        <v>3.0</v>
      </c>
      <c r="E5" s="24">
        <v>3.0</v>
      </c>
      <c r="F5" s="24">
        <v>3.0</v>
      </c>
      <c r="G5" s="24">
        <v>3.0</v>
      </c>
      <c r="H5" s="25">
        <v>25.0</v>
      </c>
      <c r="I5" s="25">
        <v>50.0</v>
      </c>
      <c r="J5" s="25">
        <v>25.0</v>
      </c>
      <c r="K5" s="25">
        <v>25.0</v>
      </c>
      <c r="L5" s="25">
        <v>25.0</v>
      </c>
      <c r="M5" s="25">
        <v>25.0</v>
      </c>
      <c r="N5" s="26">
        <v>86.344</v>
      </c>
      <c r="O5" s="26">
        <v>82.406</v>
      </c>
      <c r="P5" s="26">
        <v>80.805</v>
      </c>
      <c r="Q5" s="26">
        <v>83.309</v>
      </c>
      <c r="R5" s="26">
        <v>85.02</v>
      </c>
      <c r="S5" s="26">
        <v>82.531</v>
      </c>
      <c r="T5" s="27">
        <v>46.0</v>
      </c>
      <c r="U5" s="27">
        <v>45.5</v>
      </c>
      <c r="V5" s="27">
        <v>45.5</v>
      </c>
      <c r="W5" s="27">
        <v>45.5</v>
      </c>
      <c r="X5" s="27">
        <v>45.5</v>
      </c>
      <c r="Y5" s="27">
        <v>45.5</v>
      </c>
      <c r="Z5" s="41">
        <v>49.97</v>
      </c>
      <c r="AA5" s="41">
        <v>55.49</v>
      </c>
      <c r="AB5" s="41">
        <v>65.46</v>
      </c>
      <c r="AC5" s="41">
        <v>79.7</v>
      </c>
      <c r="AD5" s="41">
        <v>84.58</v>
      </c>
      <c r="AE5" s="41">
        <v>85.46</v>
      </c>
      <c r="AF5" s="29">
        <v>278.755</v>
      </c>
      <c r="AG5" s="29">
        <v>282.556</v>
      </c>
      <c r="AH5" s="29">
        <v>282.556</v>
      </c>
      <c r="AI5" s="29">
        <v>282.556</v>
      </c>
      <c r="AJ5" s="29">
        <v>282.556</v>
      </c>
      <c r="AK5" s="29">
        <v>282.556</v>
      </c>
    </row>
    <row r="6">
      <c r="A6" s="23" t="s">
        <v>10</v>
      </c>
      <c r="B6" s="24">
        <v>3.0</v>
      </c>
      <c r="C6" s="24">
        <v>3.0</v>
      </c>
      <c r="D6" s="24">
        <v>3.0</v>
      </c>
      <c r="E6" s="24">
        <v>3.0</v>
      </c>
      <c r="F6" s="24">
        <v>3.0</v>
      </c>
      <c r="G6" s="24">
        <v>3.0</v>
      </c>
      <c r="H6" s="25">
        <v>50.0</v>
      </c>
      <c r="I6" s="25">
        <v>25.0</v>
      </c>
      <c r="J6" s="25">
        <v>50.0</v>
      </c>
      <c r="K6" s="25">
        <v>45.0</v>
      </c>
      <c r="L6" s="25">
        <v>50.0</v>
      </c>
      <c r="M6" s="25">
        <v>25.0</v>
      </c>
      <c r="N6" s="26">
        <v>84.172</v>
      </c>
      <c r="O6" s="26">
        <v>82.664</v>
      </c>
      <c r="P6" s="26">
        <v>84.301</v>
      </c>
      <c r="Q6" s="26">
        <v>85.191</v>
      </c>
      <c r="R6" s="26">
        <v>81.734</v>
      </c>
      <c r="S6" s="26">
        <v>84.824</v>
      </c>
      <c r="T6" s="27">
        <v>45.5</v>
      </c>
      <c r="U6" s="27">
        <v>45.5</v>
      </c>
      <c r="V6" s="27">
        <v>46.0</v>
      </c>
      <c r="W6" s="27">
        <v>45.5</v>
      </c>
      <c r="X6" s="27">
        <v>45.5</v>
      </c>
      <c r="Y6" s="27">
        <v>45.5</v>
      </c>
      <c r="Z6" s="30">
        <v>51.97</v>
      </c>
      <c r="AA6" s="30">
        <v>56.49</v>
      </c>
      <c r="AB6" s="30">
        <v>65.73</v>
      </c>
      <c r="AC6" s="30">
        <v>80.09</v>
      </c>
      <c r="AD6" s="30">
        <v>84.72</v>
      </c>
      <c r="AE6" s="30">
        <v>84.74</v>
      </c>
      <c r="AF6" s="29">
        <v>278.63</v>
      </c>
      <c r="AG6" s="29">
        <v>282.431</v>
      </c>
      <c r="AH6" s="29">
        <v>282.442</v>
      </c>
      <c r="AI6" s="29">
        <v>282.442</v>
      </c>
      <c r="AJ6" s="29">
        <v>282.442</v>
      </c>
      <c r="AK6" s="29">
        <v>282.442</v>
      </c>
    </row>
    <row r="7">
      <c r="A7" s="23" t="s">
        <v>11</v>
      </c>
      <c r="B7" s="24">
        <v>3.0</v>
      </c>
      <c r="C7" s="24">
        <v>3.0</v>
      </c>
      <c r="D7" s="24">
        <v>3.0</v>
      </c>
      <c r="E7" s="24">
        <v>3.0</v>
      </c>
      <c r="F7" s="24">
        <v>3.0</v>
      </c>
      <c r="G7" s="24">
        <v>3.0</v>
      </c>
      <c r="H7" s="25">
        <v>32.3</v>
      </c>
      <c r="I7" s="25">
        <v>28.2</v>
      </c>
      <c r="J7" s="25">
        <v>35.4</v>
      </c>
      <c r="K7" s="25">
        <v>48.9</v>
      </c>
      <c r="L7" s="25">
        <v>51.2</v>
      </c>
      <c r="M7" s="25">
        <v>39.1</v>
      </c>
      <c r="N7" s="26">
        <v>82.012</v>
      </c>
      <c r="O7" s="26">
        <v>82.457</v>
      </c>
      <c r="P7" s="26">
        <v>84.301</v>
      </c>
      <c r="Q7" s="26">
        <v>82.207</v>
      </c>
      <c r="R7" s="26">
        <v>81.598</v>
      </c>
      <c r="S7" s="26">
        <v>86.633</v>
      </c>
      <c r="T7" s="27">
        <v>45.5</v>
      </c>
      <c r="U7" s="27">
        <v>45.5</v>
      </c>
      <c r="V7" s="27">
        <v>45.5</v>
      </c>
      <c r="W7" s="27">
        <v>45.5</v>
      </c>
      <c r="X7" s="27">
        <v>45.5</v>
      </c>
      <c r="Y7" s="27">
        <v>45.5</v>
      </c>
      <c r="Z7" s="30">
        <v>41.85</v>
      </c>
      <c r="AA7" s="30">
        <v>52.75</v>
      </c>
      <c r="AB7" s="30">
        <v>66.46</v>
      </c>
      <c r="AC7" s="30">
        <v>76.69</v>
      </c>
      <c r="AD7" s="30">
        <v>81.62</v>
      </c>
      <c r="AE7" s="30">
        <v>81.77</v>
      </c>
      <c r="AF7" s="29">
        <v>282.841</v>
      </c>
      <c r="AG7" s="29">
        <v>286.642</v>
      </c>
      <c r="AH7" s="29">
        <v>286.653</v>
      </c>
      <c r="AI7" s="29">
        <v>286.653</v>
      </c>
      <c r="AJ7" s="29">
        <v>286.653</v>
      </c>
      <c r="AK7" s="29">
        <v>286.653</v>
      </c>
    </row>
    <row r="8">
      <c r="A8" s="31" t="s">
        <v>12</v>
      </c>
      <c r="B8" s="32">
        <f t="shared" ref="B8:AK8" si="1">MEDIAN(B5:B7)</f>
        <v>3</v>
      </c>
      <c r="C8" s="32">
        <f t="shared" si="1"/>
        <v>3</v>
      </c>
      <c r="D8" s="32">
        <f t="shared" si="1"/>
        <v>3</v>
      </c>
      <c r="E8" s="32">
        <f t="shared" si="1"/>
        <v>3</v>
      </c>
      <c r="F8" s="32">
        <f t="shared" si="1"/>
        <v>3</v>
      </c>
      <c r="G8" s="32">
        <f t="shared" si="1"/>
        <v>3</v>
      </c>
      <c r="H8" s="32">
        <f t="shared" si="1"/>
        <v>32.3</v>
      </c>
      <c r="I8" s="32">
        <f t="shared" si="1"/>
        <v>28.2</v>
      </c>
      <c r="J8" s="32">
        <f t="shared" si="1"/>
        <v>35.4</v>
      </c>
      <c r="K8" s="32">
        <f t="shared" si="1"/>
        <v>45</v>
      </c>
      <c r="L8" s="32">
        <f t="shared" si="1"/>
        <v>50</v>
      </c>
      <c r="M8" s="32">
        <f t="shared" si="1"/>
        <v>25</v>
      </c>
      <c r="N8" s="32">
        <f t="shared" si="1"/>
        <v>84.172</v>
      </c>
      <c r="O8" s="32">
        <f t="shared" si="1"/>
        <v>82.457</v>
      </c>
      <c r="P8" s="32">
        <f t="shared" si="1"/>
        <v>84.301</v>
      </c>
      <c r="Q8" s="32">
        <f t="shared" si="1"/>
        <v>83.309</v>
      </c>
      <c r="R8" s="32">
        <f t="shared" si="1"/>
        <v>81.734</v>
      </c>
      <c r="S8" s="32">
        <f t="shared" si="1"/>
        <v>84.824</v>
      </c>
      <c r="T8" s="32">
        <f t="shared" si="1"/>
        <v>45.5</v>
      </c>
      <c r="U8" s="32">
        <f t="shared" si="1"/>
        <v>45.5</v>
      </c>
      <c r="V8" s="32">
        <f t="shared" si="1"/>
        <v>45.5</v>
      </c>
      <c r="W8" s="32">
        <f t="shared" si="1"/>
        <v>45.5</v>
      </c>
      <c r="X8" s="32">
        <f t="shared" si="1"/>
        <v>45.5</v>
      </c>
      <c r="Y8" s="32">
        <f t="shared" si="1"/>
        <v>45.5</v>
      </c>
      <c r="Z8" s="32">
        <f t="shared" si="1"/>
        <v>49.97</v>
      </c>
      <c r="AA8" s="32">
        <f t="shared" si="1"/>
        <v>55.49</v>
      </c>
      <c r="AB8" s="32">
        <f t="shared" si="1"/>
        <v>65.73</v>
      </c>
      <c r="AC8" s="32">
        <f t="shared" si="1"/>
        <v>79.7</v>
      </c>
      <c r="AD8" s="32">
        <f t="shared" si="1"/>
        <v>84.58</v>
      </c>
      <c r="AE8" s="32">
        <f t="shared" si="1"/>
        <v>84.74</v>
      </c>
      <c r="AF8" s="32">
        <f t="shared" si="1"/>
        <v>278.755</v>
      </c>
      <c r="AG8" s="32">
        <f t="shared" si="1"/>
        <v>282.556</v>
      </c>
      <c r="AH8" s="32">
        <f t="shared" si="1"/>
        <v>282.556</v>
      </c>
      <c r="AI8" s="32">
        <f t="shared" si="1"/>
        <v>282.556</v>
      </c>
      <c r="AJ8" s="32">
        <f t="shared" si="1"/>
        <v>282.556</v>
      </c>
      <c r="AK8" s="32">
        <f t="shared" si="1"/>
        <v>282.556</v>
      </c>
    </row>
    <row r="9">
      <c r="A9" s="31" t="s">
        <v>13</v>
      </c>
      <c r="B9" s="84">
        <f t="shared" ref="B9:AK9" si="2">STDEV(B5:B7)</f>
        <v>0</v>
      </c>
      <c r="C9" s="84">
        <f t="shared" si="2"/>
        <v>0</v>
      </c>
      <c r="D9" s="84">
        <f t="shared" si="2"/>
        <v>0</v>
      </c>
      <c r="E9" s="84">
        <f t="shared" si="2"/>
        <v>0</v>
      </c>
      <c r="F9" s="84">
        <f t="shared" si="2"/>
        <v>0</v>
      </c>
      <c r="G9" s="84">
        <f t="shared" si="2"/>
        <v>0</v>
      </c>
      <c r="H9" s="33">
        <f t="shared" si="2"/>
        <v>12.85547873</v>
      </c>
      <c r="I9" s="33">
        <f t="shared" si="2"/>
        <v>13.60441105</v>
      </c>
      <c r="J9" s="33">
        <f t="shared" si="2"/>
        <v>12.55866235</v>
      </c>
      <c r="K9" s="33">
        <f t="shared" si="2"/>
        <v>12.82198633</v>
      </c>
      <c r="L9" s="33">
        <f t="shared" si="2"/>
        <v>14.79234036</v>
      </c>
      <c r="M9" s="33">
        <f t="shared" si="2"/>
        <v>8.140638796</v>
      </c>
      <c r="N9" s="34">
        <f t="shared" si="2"/>
        <v>2.16600277</v>
      </c>
      <c r="O9" s="34">
        <f t="shared" si="2"/>
        <v>0.1366345491</v>
      </c>
      <c r="P9" s="34">
        <f t="shared" si="2"/>
        <v>2.018416541</v>
      </c>
      <c r="Q9" s="34">
        <f t="shared" si="2"/>
        <v>1.50889496</v>
      </c>
      <c r="R9" s="34">
        <f t="shared" si="2"/>
        <v>1.937626383</v>
      </c>
      <c r="S9" s="34">
        <f t="shared" si="2"/>
        <v>2.055753471</v>
      </c>
      <c r="T9" s="34">
        <f t="shared" si="2"/>
        <v>0.2886751346</v>
      </c>
      <c r="U9" s="35">
        <f t="shared" si="2"/>
        <v>0</v>
      </c>
      <c r="V9" s="34">
        <f t="shared" si="2"/>
        <v>0.2886751346</v>
      </c>
      <c r="W9" s="35">
        <f t="shared" si="2"/>
        <v>0</v>
      </c>
      <c r="X9" s="35">
        <f t="shared" si="2"/>
        <v>0</v>
      </c>
      <c r="Y9" s="35">
        <f t="shared" si="2"/>
        <v>0</v>
      </c>
      <c r="Z9" s="34">
        <f t="shared" si="2"/>
        <v>5.35955222</v>
      </c>
      <c r="AA9" s="34">
        <f t="shared" si="2"/>
        <v>1.936285103</v>
      </c>
      <c r="AB9" s="34">
        <f t="shared" si="2"/>
        <v>0.5173329038</v>
      </c>
      <c r="AC9" s="34">
        <f t="shared" si="2"/>
        <v>1.860654007</v>
      </c>
      <c r="AD9" s="34">
        <f t="shared" si="2"/>
        <v>1.750771259</v>
      </c>
      <c r="AE9" s="34">
        <f t="shared" si="2"/>
        <v>1.955990798</v>
      </c>
      <c r="AF9" s="34">
        <f t="shared" si="2"/>
        <v>2.395952907</v>
      </c>
      <c r="AG9" s="34">
        <f t="shared" si="2"/>
        <v>2.395952907</v>
      </c>
      <c r="AH9" s="34">
        <f t="shared" si="2"/>
        <v>2.398990274</v>
      </c>
      <c r="AI9" s="34">
        <f t="shared" si="2"/>
        <v>2.398990274</v>
      </c>
      <c r="AJ9" s="34">
        <f t="shared" si="2"/>
        <v>2.398990274</v>
      </c>
      <c r="AK9" s="34">
        <f t="shared" si="2"/>
        <v>2.398990274</v>
      </c>
    </row>
    <row r="10">
      <c r="A10" s="36"/>
    </row>
    <row r="11">
      <c r="A11" s="18" t="s">
        <v>14</v>
      </c>
      <c r="B11" s="19"/>
      <c r="C11" s="19"/>
      <c r="D11" s="19"/>
      <c r="E11" s="19"/>
      <c r="F11" s="19"/>
      <c r="G11" s="19"/>
      <c r="H11" s="20"/>
      <c r="I11" s="20"/>
      <c r="J11" s="20"/>
      <c r="K11" s="20"/>
      <c r="L11" s="21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</row>
    <row r="12">
      <c r="A12" s="23" t="s">
        <v>15</v>
      </c>
      <c r="B12" s="24">
        <v>3.0</v>
      </c>
      <c r="C12" s="24">
        <v>3.0</v>
      </c>
      <c r="D12" s="24">
        <v>3.0</v>
      </c>
      <c r="E12" s="24">
        <v>3.0</v>
      </c>
      <c r="F12" s="24">
        <v>3.0</v>
      </c>
      <c r="G12" s="24">
        <v>3.0</v>
      </c>
      <c r="H12" s="38">
        <v>25.0</v>
      </c>
      <c r="I12" s="38">
        <v>25.0</v>
      </c>
      <c r="J12" s="38">
        <v>25.0</v>
      </c>
      <c r="K12" s="38">
        <v>25.0</v>
      </c>
      <c r="L12" s="38">
        <v>25.0</v>
      </c>
      <c r="M12" s="38">
        <v>25.0</v>
      </c>
      <c r="N12" s="26">
        <v>80.311</v>
      </c>
      <c r="O12" s="26">
        <v>84.988</v>
      </c>
      <c r="P12" s="26">
        <v>81.133</v>
      </c>
      <c r="Q12" s="26">
        <v>84.602</v>
      </c>
      <c r="R12" s="26">
        <v>83.176</v>
      </c>
      <c r="S12" s="26">
        <v>81.785</v>
      </c>
      <c r="T12" s="27">
        <v>45.5</v>
      </c>
      <c r="U12" s="27">
        <v>45.5</v>
      </c>
      <c r="V12" s="27">
        <v>45.5</v>
      </c>
      <c r="W12" s="27">
        <v>45.5</v>
      </c>
      <c r="X12" s="27">
        <v>45.5</v>
      </c>
      <c r="Y12" s="27">
        <v>45.5</v>
      </c>
      <c r="Z12" s="30">
        <v>127.2</v>
      </c>
      <c r="AA12" s="30">
        <v>138.98</v>
      </c>
      <c r="AB12" s="30">
        <v>152.45</v>
      </c>
      <c r="AC12" s="30">
        <v>162.77</v>
      </c>
      <c r="AD12" s="30">
        <v>167.93</v>
      </c>
      <c r="AE12" s="30">
        <v>175.22</v>
      </c>
      <c r="AF12" s="29">
        <v>282.57</v>
      </c>
      <c r="AG12" s="29">
        <v>282.57</v>
      </c>
      <c r="AH12" s="29">
        <v>282.57</v>
      </c>
      <c r="AI12" s="29">
        <v>282.57</v>
      </c>
      <c r="AJ12" s="29">
        <v>323.3</v>
      </c>
      <c r="AK12" s="29">
        <v>323.3</v>
      </c>
    </row>
    <row r="13">
      <c r="A13" s="23" t="s">
        <v>16</v>
      </c>
      <c r="B13" s="24">
        <v>3.0</v>
      </c>
      <c r="C13" s="24">
        <v>3.0</v>
      </c>
      <c r="D13" s="24">
        <v>3.0</v>
      </c>
      <c r="E13" s="24">
        <v>3.0</v>
      </c>
      <c r="F13" s="24">
        <v>3.0</v>
      </c>
      <c r="G13" s="24">
        <v>3.0</v>
      </c>
      <c r="H13" s="38">
        <v>20.0</v>
      </c>
      <c r="I13" s="38">
        <v>25.0</v>
      </c>
      <c r="J13" s="38">
        <v>25.0</v>
      </c>
      <c r="K13" s="38">
        <v>25.0</v>
      </c>
      <c r="L13" s="38">
        <v>25.0</v>
      </c>
      <c r="M13" s="38">
        <v>25.0</v>
      </c>
      <c r="N13" s="26">
        <v>80.977</v>
      </c>
      <c r="O13" s="26">
        <v>84.961</v>
      </c>
      <c r="P13" s="26">
        <v>82.164</v>
      </c>
      <c r="Q13" s="26">
        <v>85.328</v>
      </c>
      <c r="R13" s="26">
        <v>82.016</v>
      </c>
      <c r="S13" s="26">
        <v>84.816</v>
      </c>
      <c r="T13" s="27">
        <v>45.5</v>
      </c>
      <c r="U13" s="27">
        <v>45.5</v>
      </c>
      <c r="V13" s="27">
        <v>45.5</v>
      </c>
      <c r="W13" s="27">
        <v>45.5</v>
      </c>
      <c r="X13" s="27">
        <v>45.5</v>
      </c>
      <c r="Y13" s="27">
        <v>45.5</v>
      </c>
      <c r="Z13" s="30">
        <v>127.97</v>
      </c>
      <c r="AA13" s="30">
        <v>138.73</v>
      </c>
      <c r="AB13" s="30">
        <v>151.12</v>
      </c>
      <c r="AC13" s="30">
        <v>162.76</v>
      </c>
      <c r="AD13" s="30">
        <v>170.45</v>
      </c>
      <c r="AE13" s="30">
        <v>170.5</v>
      </c>
      <c r="AF13" s="29">
        <v>282.4</v>
      </c>
      <c r="AG13" s="29">
        <v>282.4</v>
      </c>
      <c r="AH13" s="29">
        <v>282.4</v>
      </c>
      <c r="AI13" s="29">
        <v>282.4</v>
      </c>
      <c r="AJ13" s="29">
        <v>282.4</v>
      </c>
      <c r="AK13" s="29">
        <v>282.4</v>
      </c>
    </row>
    <row r="14">
      <c r="A14" s="23" t="s">
        <v>17</v>
      </c>
      <c r="B14" s="24">
        <v>3.0</v>
      </c>
      <c r="C14" s="24">
        <v>3.0</v>
      </c>
      <c r="D14" s="24">
        <v>3.0</v>
      </c>
      <c r="E14" s="24">
        <v>3.0</v>
      </c>
      <c r="F14" s="24">
        <v>3.0</v>
      </c>
      <c r="G14" s="24">
        <v>3.0</v>
      </c>
      <c r="H14" s="38">
        <v>25.0</v>
      </c>
      <c r="I14" s="38">
        <v>25.0</v>
      </c>
      <c r="J14" s="38">
        <v>33.0</v>
      </c>
      <c r="K14" s="38">
        <v>25.0</v>
      </c>
      <c r="L14" s="38">
        <v>20.0</v>
      </c>
      <c r="M14" s="38">
        <v>50.0</v>
      </c>
      <c r="N14" s="26">
        <v>84.496</v>
      </c>
      <c r="O14" s="26">
        <v>85.199</v>
      </c>
      <c r="P14" s="26">
        <v>84.719</v>
      </c>
      <c r="Q14" s="26">
        <v>85.34</v>
      </c>
      <c r="R14" s="26">
        <v>84.574</v>
      </c>
      <c r="S14" s="26">
        <v>85.133</v>
      </c>
      <c r="T14" s="27">
        <v>45.5</v>
      </c>
      <c r="U14" s="27">
        <v>45.5</v>
      </c>
      <c r="V14" s="27">
        <v>45.5</v>
      </c>
      <c r="W14" s="27">
        <v>45.5</v>
      </c>
      <c r="X14" s="27">
        <v>45.5</v>
      </c>
      <c r="Y14" s="27">
        <v>45.5</v>
      </c>
      <c r="Z14" s="30">
        <v>128.23</v>
      </c>
      <c r="AA14" s="30">
        <v>134.53</v>
      </c>
      <c r="AB14" s="30">
        <v>153.94</v>
      </c>
      <c r="AC14" s="30">
        <v>153.99</v>
      </c>
      <c r="AD14" s="30">
        <v>167.79</v>
      </c>
      <c r="AE14" s="30">
        <v>171.02</v>
      </c>
      <c r="AF14" s="29">
        <v>286.7</v>
      </c>
      <c r="AG14" s="29">
        <v>286.7</v>
      </c>
      <c r="AH14" s="29">
        <v>286.7</v>
      </c>
      <c r="AI14" s="29">
        <v>286.7</v>
      </c>
      <c r="AJ14" s="29">
        <v>286.7</v>
      </c>
      <c r="AK14" s="29">
        <v>286.7</v>
      </c>
    </row>
    <row r="15">
      <c r="A15" s="31" t="s">
        <v>12</v>
      </c>
      <c r="B15" s="32">
        <f t="shared" ref="B15:AK15" si="3">MEDIAN(B12:B14)</f>
        <v>3</v>
      </c>
      <c r="C15" s="32">
        <f t="shared" si="3"/>
        <v>3</v>
      </c>
      <c r="D15" s="32">
        <f t="shared" si="3"/>
        <v>3</v>
      </c>
      <c r="E15" s="32">
        <f t="shared" si="3"/>
        <v>3</v>
      </c>
      <c r="F15" s="32">
        <f t="shared" si="3"/>
        <v>3</v>
      </c>
      <c r="G15" s="32">
        <f t="shared" si="3"/>
        <v>3</v>
      </c>
      <c r="H15" s="32">
        <f t="shared" si="3"/>
        <v>25</v>
      </c>
      <c r="I15" s="32">
        <f t="shared" si="3"/>
        <v>25</v>
      </c>
      <c r="J15" s="32">
        <f t="shared" si="3"/>
        <v>25</v>
      </c>
      <c r="K15" s="32">
        <f t="shared" si="3"/>
        <v>25</v>
      </c>
      <c r="L15" s="32">
        <f t="shared" si="3"/>
        <v>25</v>
      </c>
      <c r="M15" s="32">
        <f t="shared" si="3"/>
        <v>25</v>
      </c>
      <c r="N15" s="32">
        <f t="shared" si="3"/>
        <v>80.977</v>
      </c>
      <c r="O15" s="32">
        <f t="shared" si="3"/>
        <v>84.988</v>
      </c>
      <c r="P15" s="32">
        <f t="shared" si="3"/>
        <v>82.164</v>
      </c>
      <c r="Q15" s="32">
        <f t="shared" si="3"/>
        <v>85.328</v>
      </c>
      <c r="R15" s="32">
        <f t="shared" si="3"/>
        <v>83.176</v>
      </c>
      <c r="S15" s="32">
        <f t="shared" si="3"/>
        <v>84.816</v>
      </c>
      <c r="T15" s="32">
        <f t="shared" si="3"/>
        <v>45.5</v>
      </c>
      <c r="U15" s="32">
        <f t="shared" si="3"/>
        <v>45.5</v>
      </c>
      <c r="V15" s="32">
        <f t="shared" si="3"/>
        <v>45.5</v>
      </c>
      <c r="W15" s="32">
        <f t="shared" si="3"/>
        <v>45.5</v>
      </c>
      <c r="X15" s="32">
        <f t="shared" si="3"/>
        <v>45.5</v>
      </c>
      <c r="Y15" s="32">
        <f t="shared" si="3"/>
        <v>45.5</v>
      </c>
      <c r="Z15" s="32">
        <f t="shared" si="3"/>
        <v>127.97</v>
      </c>
      <c r="AA15" s="32">
        <f t="shared" si="3"/>
        <v>138.73</v>
      </c>
      <c r="AB15" s="32">
        <f t="shared" si="3"/>
        <v>152.45</v>
      </c>
      <c r="AC15" s="32">
        <f t="shared" si="3"/>
        <v>162.76</v>
      </c>
      <c r="AD15" s="32">
        <f t="shared" si="3"/>
        <v>167.93</v>
      </c>
      <c r="AE15" s="32">
        <f t="shared" si="3"/>
        <v>171.02</v>
      </c>
      <c r="AF15" s="32">
        <f t="shared" si="3"/>
        <v>282.57</v>
      </c>
      <c r="AG15" s="32">
        <f t="shared" si="3"/>
        <v>282.57</v>
      </c>
      <c r="AH15" s="32">
        <f t="shared" si="3"/>
        <v>282.57</v>
      </c>
      <c r="AI15" s="32">
        <f t="shared" si="3"/>
        <v>282.57</v>
      </c>
      <c r="AJ15" s="32">
        <f t="shared" si="3"/>
        <v>286.7</v>
      </c>
      <c r="AK15" s="32">
        <f t="shared" si="3"/>
        <v>286.7</v>
      </c>
    </row>
    <row r="16">
      <c r="A16" s="31" t="s">
        <v>13</v>
      </c>
      <c r="B16" s="84">
        <f t="shared" ref="B16:AK16" si="4">STDEV(B12:B14)</f>
        <v>0</v>
      </c>
      <c r="C16" s="84">
        <f t="shared" si="4"/>
        <v>0</v>
      </c>
      <c r="D16" s="84">
        <f t="shared" si="4"/>
        <v>0</v>
      </c>
      <c r="E16" s="84">
        <f t="shared" si="4"/>
        <v>0</v>
      </c>
      <c r="F16" s="84">
        <f t="shared" si="4"/>
        <v>0</v>
      </c>
      <c r="G16" s="84">
        <f t="shared" si="4"/>
        <v>0</v>
      </c>
      <c r="H16" s="33">
        <f t="shared" si="4"/>
        <v>2.886751346</v>
      </c>
      <c r="I16" s="33">
        <f t="shared" si="4"/>
        <v>0</v>
      </c>
      <c r="J16" s="33">
        <f t="shared" si="4"/>
        <v>4.618802154</v>
      </c>
      <c r="K16" s="33">
        <f t="shared" si="4"/>
        <v>0</v>
      </c>
      <c r="L16" s="33">
        <f t="shared" si="4"/>
        <v>2.886751346</v>
      </c>
      <c r="M16" s="33">
        <f t="shared" si="4"/>
        <v>14.43375673</v>
      </c>
      <c r="N16" s="34">
        <f t="shared" si="4"/>
        <v>2.24874565</v>
      </c>
      <c r="O16" s="34">
        <f t="shared" si="4"/>
        <v>0.1303162819</v>
      </c>
      <c r="P16" s="34">
        <f t="shared" si="4"/>
        <v>1.846184444</v>
      </c>
      <c r="Q16" s="34">
        <f t="shared" si="4"/>
        <v>0.4226629863</v>
      </c>
      <c r="R16" s="34">
        <f t="shared" si="4"/>
        <v>1.280843993</v>
      </c>
      <c r="S16" s="34">
        <f t="shared" si="4"/>
        <v>1.848267387</v>
      </c>
      <c r="T16" s="35">
        <f t="shared" si="4"/>
        <v>0</v>
      </c>
      <c r="U16" s="35">
        <f t="shared" si="4"/>
        <v>0</v>
      </c>
      <c r="V16" s="35">
        <f t="shared" si="4"/>
        <v>0</v>
      </c>
      <c r="W16" s="35">
        <f t="shared" si="4"/>
        <v>0</v>
      </c>
      <c r="X16" s="35">
        <f t="shared" si="4"/>
        <v>0</v>
      </c>
      <c r="Y16" s="35">
        <f t="shared" si="4"/>
        <v>0</v>
      </c>
      <c r="Z16" s="34">
        <f t="shared" si="4"/>
        <v>0.5356304696</v>
      </c>
      <c r="AA16" s="34">
        <f t="shared" si="4"/>
        <v>2.500166661</v>
      </c>
      <c r="AB16" s="34">
        <f t="shared" si="4"/>
        <v>1.410756298</v>
      </c>
      <c r="AC16" s="34">
        <f t="shared" si="4"/>
        <v>5.066251079</v>
      </c>
      <c r="AD16" s="34">
        <f t="shared" si="4"/>
        <v>1.496974727</v>
      </c>
      <c r="AE16" s="34">
        <f t="shared" si="4"/>
        <v>2.588075218</v>
      </c>
      <c r="AF16" s="34">
        <f t="shared" si="4"/>
        <v>2.4350154</v>
      </c>
      <c r="AG16" s="34">
        <f t="shared" si="4"/>
        <v>2.4350154</v>
      </c>
      <c r="AH16" s="34">
        <f t="shared" si="4"/>
        <v>2.4350154</v>
      </c>
      <c r="AI16" s="34">
        <f t="shared" si="4"/>
        <v>2.4350154</v>
      </c>
      <c r="AJ16" s="34">
        <f t="shared" si="4"/>
        <v>22.47539395</v>
      </c>
      <c r="AK16" s="34">
        <f t="shared" si="4"/>
        <v>22.47539395</v>
      </c>
    </row>
    <row r="17">
      <c r="A17" s="36"/>
    </row>
    <row r="18">
      <c r="A18" s="18" t="s">
        <v>18</v>
      </c>
      <c r="B18" s="19"/>
      <c r="C18" s="19"/>
      <c r="D18" s="19"/>
      <c r="E18" s="19"/>
      <c r="F18" s="19"/>
      <c r="G18" s="19"/>
      <c r="H18" s="20"/>
      <c r="I18" s="20"/>
      <c r="J18" s="20"/>
      <c r="K18" s="20"/>
      <c r="L18" s="21"/>
      <c r="M18" s="21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</row>
    <row r="19">
      <c r="A19" s="23" t="s">
        <v>19</v>
      </c>
      <c r="B19" s="24">
        <v>3.0</v>
      </c>
      <c r="C19" s="24">
        <v>3.0</v>
      </c>
      <c r="D19" s="24">
        <v>3.0</v>
      </c>
      <c r="E19" s="24">
        <v>3.0</v>
      </c>
      <c r="F19" s="24">
        <v>3.0</v>
      </c>
      <c r="G19" s="24">
        <v>3.0</v>
      </c>
      <c r="H19" s="38">
        <v>33.3</v>
      </c>
      <c r="I19" s="38">
        <v>50.0</v>
      </c>
      <c r="J19" s="38">
        <v>25.0</v>
      </c>
      <c r="K19" s="38">
        <v>25.0</v>
      </c>
      <c r="L19" s="38">
        <v>25.0</v>
      </c>
      <c r="M19" s="38">
        <v>50.0</v>
      </c>
      <c r="N19" s="26">
        <v>79.559</v>
      </c>
      <c r="O19" s="26">
        <v>86.043</v>
      </c>
      <c r="P19" s="26">
        <v>83.238</v>
      </c>
      <c r="Q19" s="26">
        <v>82.488</v>
      </c>
      <c r="R19" s="26">
        <v>81.656</v>
      </c>
      <c r="S19" s="26">
        <v>81.84</v>
      </c>
      <c r="T19" s="27">
        <v>45.5</v>
      </c>
      <c r="U19" s="27">
        <v>45.5</v>
      </c>
      <c r="V19" s="27">
        <v>45.5</v>
      </c>
      <c r="W19" s="27">
        <v>45.5</v>
      </c>
      <c r="X19" s="27">
        <v>45.5</v>
      </c>
      <c r="Y19" s="27">
        <v>45.5</v>
      </c>
      <c r="Z19" s="30">
        <v>210.48</v>
      </c>
      <c r="AA19" s="30">
        <v>221.34</v>
      </c>
      <c r="AB19" s="30">
        <v>234.57</v>
      </c>
      <c r="AC19" s="30">
        <v>245.02</v>
      </c>
      <c r="AD19" s="30">
        <v>249.93</v>
      </c>
      <c r="AE19" s="30">
        <v>249.95</v>
      </c>
      <c r="AF19" s="29">
        <v>323.3</v>
      </c>
      <c r="AG19" s="29">
        <v>323.3</v>
      </c>
      <c r="AH19" s="29">
        <v>323.3</v>
      </c>
      <c r="AI19" s="29">
        <v>323.3</v>
      </c>
      <c r="AJ19" s="29">
        <v>323.3</v>
      </c>
      <c r="AK19" s="29">
        <v>323.3</v>
      </c>
    </row>
    <row r="20">
      <c r="A20" s="23" t="s">
        <v>20</v>
      </c>
      <c r="B20" s="24">
        <v>3.0</v>
      </c>
      <c r="C20" s="24">
        <v>3.0</v>
      </c>
      <c r="D20" s="24">
        <v>3.0</v>
      </c>
      <c r="E20" s="24">
        <v>3.0</v>
      </c>
      <c r="F20" s="24">
        <v>3.0</v>
      </c>
      <c r="G20" s="24">
        <v>3.0</v>
      </c>
      <c r="H20" s="38">
        <v>25.0</v>
      </c>
      <c r="I20" s="38">
        <v>25.0</v>
      </c>
      <c r="J20" s="38">
        <v>25.0</v>
      </c>
      <c r="K20" s="38">
        <v>50.0</v>
      </c>
      <c r="L20" s="38">
        <v>50.0</v>
      </c>
      <c r="M20" s="38">
        <v>40.0</v>
      </c>
      <c r="N20" s="26">
        <v>85.48</v>
      </c>
      <c r="O20" s="26">
        <v>86.855</v>
      </c>
      <c r="P20" s="26">
        <v>85.031</v>
      </c>
      <c r="Q20" s="26">
        <v>86.73</v>
      </c>
      <c r="R20" s="26">
        <v>83.094</v>
      </c>
      <c r="S20" s="26">
        <v>85.398</v>
      </c>
      <c r="T20" s="27">
        <v>45.5</v>
      </c>
      <c r="U20" s="27">
        <v>45.5</v>
      </c>
      <c r="V20" s="27">
        <v>45.5</v>
      </c>
      <c r="W20" s="27">
        <v>45.5</v>
      </c>
      <c r="X20" s="27">
        <v>45.5</v>
      </c>
      <c r="Y20" s="27">
        <v>45.5</v>
      </c>
      <c r="Z20" s="30">
        <v>214.32</v>
      </c>
      <c r="AA20" s="30">
        <v>220.64</v>
      </c>
      <c r="AB20" s="30">
        <v>234.84</v>
      </c>
      <c r="AC20" s="30">
        <v>244.15</v>
      </c>
      <c r="AD20" s="30">
        <v>249.37</v>
      </c>
      <c r="AE20" s="30">
        <v>256.66</v>
      </c>
      <c r="AF20" s="29">
        <v>282.4</v>
      </c>
      <c r="AG20" s="29">
        <v>282.4</v>
      </c>
      <c r="AH20" s="29">
        <v>282.4</v>
      </c>
      <c r="AI20" s="29">
        <v>282.4</v>
      </c>
      <c r="AJ20" s="29">
        <v>282.4</v>
      </c>
      <c r="AK20" s="29">
        <v>282.4</v>
      </c>
    </row>
    <row r="21">
      <c r="A21" s="23" t="s">
        <v>21</v>
      </c>
      <c r="B21" s="24">
        <v>3.0</v>
      </c>
      <c r="C21" s="24">
        <v>3.0</v>
      </c>
      <c r="D21" s="24">
        <v>3.0</v>
      </c>
      <c r="E21" s="24">
        <v>3.0</v>
      </c>
      <c r="F21" s="24">
        <v>3.0</v>
      </c>
      <c r="G21" s="24">
        <v>3.0</v>
      </c>
      <c r="H21" s="38">
        <v>45.0</v>
      </c>
      <c r="I21" s="38">
        <v>50.0</v>
      </c>
      <c r="J21" s="38">
        <v>25.0</v>
      </c>
      <c r="K21" s="38">
        <v>25.0</v>
      </c>
      <c r="L21" s="38">
        <v>25.0</v>
      </c>
      <c r="M21" s="38">
        <v>25.0</v>
      </c>
      <c r="N21" s="26">
        <v>79.664</v>
      </c>
      <c r="O21" s="26">
        <v>83.824</v>
      </c>
      <c r="P21" s="26">
        <v>85.219</v>
      </c>
      <c r="Q21" s="26">
        <v>84.469</v>
      </c>
      <c r="R21" s="26">
        <v>79.16</v>
      </c>
      <c r="S21" s="26">
        <v>83.621</v>
      </c>
      <c r="T21" s="27">
        <v>45.5</v>
      </c>
      <c r="U21" s="27">
        <v>45.5</v>
      </c>
      <c r="V21" s="27">
        <v>45.5</v>
      </c>
      <c r="W21" s="27">
        <v>45.5</v>
      </c>
      <c r="X21" s="27">
        <v>45.5</v>
      </c>
      <c r="Y21" s="27">
        <v>45.5</v>
      </c>
      <c r="Z21" s="30">
        <v>207.37</v>
      </c>
      <c r="AA21" s="30">
        <v>216.25</v>
      </c>
      <c r="AB21" s="30">
        <v>233.41</v>
      </c>
      <c r="AC21" s="30">
        <v>239.7</v>
      </c>
      <c r="AD21" s="30">
        <v>248.95</v>
      </c>
      <c r="AE21" s="30">
        <v>249.0</v>
      </c>
      <c r="AF21" s="29">
        <v>286.7</v>
      </c>
      <c r="AG21" s="29">
        <v>286.7</v>
      </c>
      <c r="AH21" s="29">
        <v>286.7</v>
      </c>
      <c r="AI21" s="29">
        <v>286.7</v>
      </c>
      <c r="AJ21" s="29">
        <v>286.7</v>
      </c>
      <c r="AK21" s="29">
        <v>286.7</v>
      </c>
    </row>
    <row r="22">
      <c r="A22" s="31" t="s">
        <v>12</v>
      </c>
      <c r="B22" s="32">
        <f t="shared" ref="B22:AK22" si="5">MEDIAN(B19:B21)</f>
        <v>3</v>
      </c>
      <c r="C22" s="32">
        <f t="shared" si="5"/>
        <v>3</v>
      </c>
      <c r="D22" s="32">
        <f t="shared" si="5"/>
        <v>3</v>
      </c>
      <c r="E22" s="32">
        <f t="shared" si="5"/>
        <v>3</v>
      </c>
      <c r="F22" s="32">
        <f t="shared" si="5"/>
        <v>3</v>
      </c>
      <c r="G22" s="32">
        <f t="shared" si="5"/>
        <v>3</v>
      </c>
      <c r="H22" s="32">
        <f t="shared" si="5"/>
        <v>33.3</v>
      </c>
      <c r="I22" s="32">
        <f t="shared" si="5"/>
        <v>50</v>
      </c>
      <c r="J22" s="32">
        <f t="shared" si="5"/>
        <v>25</v>
      </c>
      <c r="K22" s="32">
        <f t="shared" si="5"/>
        <v>25</v>
      </c>
      <c r="L22" s="32">
        <f t="shared" si="5"/>
        <v>25</v>
      </c>
      <c r="M22" s="32">
        <f t="shared" si="5"/>
        <v>40</v>
      </c>
      <c r="N22" s="32">
        <f t="shared" si="5"/>
        <v>79.664</v>
      </c>
      <c r="O22" s="32">
        <f t="shared" si="5"/>
        <v>86.043</v>
      </c>
      <c r="P22" s="32">
        <f t="shared" si="5"/>
        <v>85.031</v>
      </c>
      <c r="Q22" s="32">
        <f t="shared" si="5"/>
        <v>84.469</v>
      </c>
      <c r="R22" s="32">
        <f t="shared" si="5"/>
        <v>81.656</v>
      </c>
      <c r="S22" s="32">
        <f t="shared" si="5"/>
        <v>83.621</v>
      </c>
      <c r="T22" s="32">
        <f t="shared" si="5"/>
        <v>45.5</v>
      </c>
      <c r="U22" s="32">
        <f t="shared" si="5"/>
        <v>45.5</v>
      </c>
      <c r="V22" s="32">
        <f t="shared" si="5"/>
        <v>45.5</v>
      </c>
      <c r="W22" s="32">
        <f t="shared" si="5"/>
        <v>45.5</v>
      </c>
      <c r="X22" s="32">
        <f t="shared" si="5"/>
        <v>45.5</v>
      </c>
      <c r="Y22" s="32">
        <f t="shared" si="5"/>
        <v>45.5</v>
      </c>
      <c r="Z22" s="32">
        <f t="shared" si="5"/>
        <v>210.48</v>
      </c>
      <c r="AA22" s="32">
        <f t="shared" si="5"/>
        <v>220.64</v>
      </c>
      <c r="AB22" s="32">
        <f t="shared" si="5"/>
        <v>234.57</v>
      </c>
      <c r="AC22" s="32">
        <f t="shared" si="5"/>
        <v>244.15</v>
      </c>
      <c r="AD22" s="32">
        <f t="shared" si="5"/>
        <v>249.37</v>
      </c>
      <c r="AE22" s="32">
        <f t="shared" si="5"/>
        <v>249.95</v>
      </c>
      <c r="AF22" s="32">
        <f t="shared" si="5"/>
        <v>286.7</v>
      </c>
      <c r="AG22" s="32">
        <f t="shared" si="5"/>
        <v>286.7</v>
      </c>
      <c r="AH22" s="32">
        <f t="shared" si="5"/>
        <v>286.7</v>
      </c>
      <c r="AI22" s="32">
        <f t="shared" si="5"/>
        <v>286.7</v>
      </c>
      <c r="AJ22" s="32">
        <f t="shared" si="5"/>
        <v>286.7</v>
      </c>
      <c r="AK22" s="32">
        <f t="shared" si="5"/>
        <v>286.7</v>
      </c>
    </row>
    <row r="23">
      <c r="A23" s="31" t="s">
        <v>13</v>
      </c>
      <c r="B23" s="84">
        <f t="shared" ref="B23:AK23" si="6">STDEV(B19:B21)</f>
        <v>0</v>
      </c>
      <c r="C23" s="84">
        <f t="shared" si="6"/>
        <v>0</v>
      </c>
      <c r="D23" s="84">
        <f t="shared" si="6"/>
        <v>0</v>
      </c>
      <c r="E23" s="84">
        <f t="shared" si="6"/>
        <v>0</v>
      </c>
      <c r="F23" s="84">
        <f t="shared" si="6"/>
        <v>0</v>
      </c>
      <c r="G23" s="84">
        <f t="shared" si="6"/>
        <v>0</v>
      </c>
      <c r="H23" s="33">
        <f t="shared" si="6"/>
        <v>10.04805122</v>
      </c>
      <c r="I23" s="33">
        <f t="shared" si="6"/>
        <v>14.43375673</v>
      </c>
      <c r="J23" s="33">
        <f t="shared" si="6"/>
        <v>0</v>
      </c>
      <c r="K23" s="33">
        <f t="shared" si="6"/>
        <v>14.43375673</v>
      </c>
      <c r="L23" s="33">
        <f t="shared" si="6"/>
        <v>14.43375673</v>
      </c>
      <c r="M23" s="33">
        <f t="shared" si="6"/>
        <v>12.58305739</v>
      </c>
      <c r="N23" s="34">
        <f t="shared" si="6"/>
        <v>3.388586775</v>
      </c>
      <c r="O23" s="34">
        <f t="shared" si="6"/>
        <v>1.568984066</v>
      </c>
      <c r="P23" s="34">
        <f t="shared" si="6"/>
        <v>1.093507659</v>
      </c>
      <c r="Q23" s="34">
        <f t="shared" si="6"/>
        <v>2.122539595</v>
      </c>
      <c r="R23" s="34">
        <f t="shared" si="6"/>
        <v>1.990570103</v>
      </c>
      <c r="S23" s="34">
        <f t="shared" si="6"/>
        <v>1.779000375</v>
      </c>
      <c r="T23" s="35">
        <f t="shared" si="6"/>
        <v>0</v>
      </c>
      <c r="U23" s="35">
        <f t="shared" si="6"/>
        <v>0</v>
      </c>
      <c r="V23" s="35">
        <f t="shared" si="6"/>
        <v>0</v>
      </c>
      <c r="W23" s="35">
        <f t="shared" si="6"/>
        <v>0</v>
      </c>
      <c r="X23" s="35">
        <f t="shared" si="6"/>
        <v>0</v>
      </c>
      <c r="Y23" s="35">
        <f t="shared" si="6"/>
        <v>0</v>
      </c>
      <c r="Z23" s="34">
        <f t="shared" si="6"/>
        <v>3.481383824</v>
      </c>
      <c r="AA23" s="34">
        <f t="shared" si="6"/>
        <v>2.758930952</v>
      </c>
      <c r="AB23" s="34">
        <f t="shared" si="6"/>
        <v>0.7597587336</v>
      </c>
      <c r="AC23" s="34">
        <f t="shared" si="6"/>
        <v>2.853705194</v>
      </c>
      <c r="AD23" s="34">
        <f t="shared" si="6"/>
        <v>0.4916638418</v>
      </c>
      <c r="AE23" s="34">
        <f t="shared" si="6"/>
        <v>4.175368247</v>
      </c>
      <c r="AF23" s="34">
        <f t="shared" si="6"/>
        <v>22.47539395</v>
      </c>
      <c r="AG23" s="34">
        <f t="shared" si="6"/>
        <v>22.47539395</v>
      </c>
      <c r="AH23" s="34">
        <f t="shared" si="6"/>
        <v>22.47539395</v>
      </c>
      <c r="AI23" s="34">
        <f t="shared" si="6"/>
        <v>22.47539395</v>
      </c>
      <c r="AJ23" s="34">
        <f t="shared" si="6"/>
        <v>22.47539395</v>
      </c>
      <c r="AK23" s="34">
        <f t="shared" si="6"/>
        <v>22.47539395</v>
      </c>
    </row>
    <row r="24">
      <c r="A24" s="36"/>
    </row>
    <row r="25">
      <c r="A25" s="18" t="s">
        <v>22</v>
      </c>
      <c r="B25" s="19"/>
      <c r="C25" s="19"/>
      <c r="D25" s="19"/>
      <c r="E25" s="19"/>
      <c r="F25" s="19"/>
      <c r="G25" s="19"/>
      <c r="H25" s="20"/>
      <c r="I25" s="20"/>
      <c r="J25" s="20"/>
      <c r="K25" s="20"/>
      <c r="L25" s="21"/>
      <c r="M25" s="21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>
      <c r="A26" s="23" t="s">
        <v>23</v>
      </c>
      <c r="B26" s="24">
        <v>3.0</v>
      </c>
      <c r="C26" s="24">
        <v>3.0</v>
      </c>
      <c r="D26" s="24">
        <v>3.0</v>
      </c>
      <c r="E26" s="24">
        <v>3.0</v>
      </c>
      <c r="F26" s="24">
        <v>3.0</v>
      </c>
      <c r="G26" s="24">
        <v>3.0</v>
      </c>
      <c r="H26" s="25">
        <v>25.0</v>
      </c>
      <c r="I26" s="25">
        <v>25.0</v>
      </c>
      <c r="J26" s="25">
        <v>50.0</v>
      </c>
      <c r="K26" s="25">
        <v>25.0</v>
      </c>
      <c r="L26" s="25">
        <v>50.0</v>
      </c>
      <c r="M26" s="25">
        <v>25.0</v>
      </c>
      <c r="N26" s="26">
        <v>87.684</v>
      </c>
      <c r="O26" s="26">
        <v>89.172</v>
      </c>
      <c r="P26" s="26">
        <v>86.652</v>
      </c>
      <c r="Q26" s="26">
        <v>90.883</v>
      </c>
      <c r="R26" s="26">
        <v>90.027</v>
      </c>
      <c r="S26" s="26">
        <v>90.633</v>
      </c>
      <c r="T26" s="27">
        <v>46.5</v>
      </c>
      <c r="U26" s="27">
        <v>46.5</v>
      </c>
      <c r="V26" s="27">
        <v>46.5</v>
      </c>
      <c r="W26" s="27">
        <v>46.5</v>
      </c>
      <c r="X26" s="27">
        <v>46.5</v>
      </c>
      <c r="Y26" s="27">
        <v>46.5</v>
      </c>
      <c r="Z26" s="30">
        <v>50.44</v>
      </c>
      <c r="AA26" s="30">
        <v>55.12</v>
      </c>
      <c r="AB26" s="30">
        <v>67.31</v>
      </c>
      <c r="AC26" s="30">
        <v>76.14</v>
      </c>
      <c r="AD26" s="30">
        <v>79.9</v>
      </c>
      <c r="AE26" s="30">
        <v>79.9</v>
      </c>
      <c r="AF26" s="29">
        <v>288.508</v>
      </c>
      <c r="AG26" s="29">
        <v>292.311</v>
      </c>
      <c r="AH26" s="29">
        <v>292.331</v>
      </c>
      <c r="AI26" s="29">
        <v>292.331</v>
      </c>
      <c r="AJ26" s="29">
        <v>292.341</v>
      </c>
      <c r="AK26" s="29">
        <v>292.341</v>
      </c>
    </row>
    <row r="27">
      <c r="A27" s="23" t="s">
        <v>24</v>
      </c>
      <c r="B27" s="24">
        <v>3.0</v>
      </c>
      <c r="C27" s="24">
        <v>3.0</v>
      </c>
      <c r="D27" s="24">
        <v>3.0</v>
      </c>
      <c r="E27" s="24">
        <v>3.0</v>
      </c>
      <c r="F27" s="24">
        <v>3.0</v>
      </c>
      <c r="G27" s="24">
        <v>3.0</v>
      </c>
      <c r="H27" s="38">
        <v>32.5</v>
      </c>
      <c r="I27" s="38">
        <v>40.0</v>
      </c>
      <c r="J27" s="38">
        <v>25.0</v>
      </c>
      <c r="K27" s="38">
        <v>50.0</v>
      </c>
      <c r="L27" s="38">
        <v>25.0</v>
      </c>
      <c r="M27" s="38">
        <v>50.0</v>
      </c>
      <c r="N27" s="26">
        <v>90.113</v>
      </c>
      <c r="O27" s="26">
        <v>91.41</v>
      </c>
      <c r="P27" s="26">
        <v>90.516</v>
      </c>
      <c r="Q27" s="26">
        <v>89.848</v>
      </c>
      <c r="R27" s="26">
        <v>89.855</v>
      </c>
      <c r="S27" s="26">
        <v>91.727</v>
      </c>
      <c r="T27" s="27">
        <v>46.5</v>
      </c>
      <c r="U27" s="27">
        <v>46.5</v>
      </c>
      <c r="V27" s="27">
        <v>46.5</v>
      </c>
      <c r="W27" s="27">
        <v>46.5</v>
      </c>
      <c r="X27" s="27">
        <v>46.5</v>
      </c>
      <c r="Y27" s="27">
        <v>46.5</v>
      </c>
      <c r="Z27" s="30">
        <v>120.92</v>
      </c>
      <c r="AA27" s="30">
        <v>129.79</v>
      </c>
      <c r="AB27" s="30">
        <v>139.14</v>
      </c>
      <c r="AC27" s="30">
        <v>151.06</v>
      </c>
      <c r="AD27" s="30">
        <v>154.57</v>
      </c>
      <c r="AE27" s="30">
        <v>158.75</v>
      </c>
      <c r="AF27" s="29">
        <v>292.38</v>
      </c>
      <c r="AG27" s="29">
        <v>292.38</v>
      </c>
      <c r="AH27" s="29">
        <v>292.401</v>
      </c>
      <c r="AI27" s="29">
        <v>292.401</v>
      </c>
      <c r="AJ27" s="29">
        <v>292.411</v>
      </c>
      <c r="AK27" s="29">
        <v>292.411</v>
      </c>
    </row>
    <row r="28">
      <c r="A28" s="23" t="s">
        <v>25</v>
      </c>
      <c r="B28" s="24">
        <v>3.0</v>
      </c>
      <c r="C28" s="24">
        <v>3.0</v>
      </c>
      <c r="D28" s="24">
        <v>3.0</v>
      </c>
      <c r="E28" s="24">
        <v>3.0</v>
      </c>
      <c r="F28" s="24">
        <v>3.0</v>
      </c>
      <c r="G28" s="24">
        <v>3.0</v>
      </c>
      <c r="H28" s="38">
        <v>32.7</v>
      </c>
      <c r="I28" s="38">
        <v>25.0</v>
      </c>
      <c r="J28" s="38">
        <v>50.0</v>
      </c>
      <c r="K28" s="38">
        <v>50.0</v>
      </c>
      <c r="L28" s="38">
        <v>50.0</v>
      </c>
      <c r="M28" s="38">
        <v>33.3</v>
      </c>
      <c r="N28" s="26">
        <v>90.516</v>
      </c>
      <c r="O28" s="26">
        <v>92.258</v>
      </c>
      <c r="P28" s="26">
        <v>85.855</v>
      </c>
      <c r="Q28" s="26">
        <v>90.945</v>
      </c>
      <c r="R28" s="26">
        <v>91.266</v>
      </c>
      <c r="S28" s="26">
        <v>89.953</v>
      </c>
      <c r="T28" s="27">
        <v>46.5</v>
      </c>
      <c r="U28" s="27">
        <v>46.5</v>
      </c>
      <c r="V28" s="27">
        <v>46.5</v>
      </c>
      <c r="W28" s="27">
        <v>46.5</v>
      </c>
      <c r="X28" s="27">
        <v>46.5</v>
      </c>
      <c r="Y28" s="27">
        <v>46.5</v>
      </c>
      <c r="Z28" s="30">
        <v>199.84</v>
      </c>
      <c r="AA28" s="30">
        <v>202.87</v>
      </c>
      <c r="AB28" s="30">
        <v>219.41</v>
      </c>
      <c r="AC28" s="30">
        <v>225.64</v>
      </c>
      <c r="AD28" s="30">
        <v>230.46</v>
      </c>
      <c r="AE28" s="30">
        <v>234.92</v>
      </c>
      <c r="AF28" s="29">
        <v>292.45</v>
      </c>
      <c r="AG28" s="29">
        <v>292.451</v>
      </c>
      <c r="AH28" s="29">
        <v>292.471</v>
      </c>
      <c r="AI28" s="29">
        <v>292.471</v>
      </c>
      <c r="AJ28" s="29">
        <v>292.481</v>
      </c>
      <c r="AK28" s="29">
        <v>292.481</v>
      </c>
    </row>
    <row r="29">
      <c r="A29" s="31" t="s">
        <v>12</v>
      </c>
      <c r="B29" s="32">
        <f t="shared" ref="B29:AK29" si="7">MEDIAN(B26:B28)</f>
        <v>3</v>
      </c>
      <c r="C29" s="32">
        <f t="shared" si="7"/>
        <v>3</v>
      </c>
      <c r="D29" s="32">
        <f t="shared" si="7"/>
        <v>3</v>
      </c>
      <c r="E29" s="32">
        <f t="shared" si="7"/>
        <v>3</v>
      </c>
      <c r="F29" s="32">
        <f t="shared" si="7"/>
        <v>3</v>
      </c>
      <c r="G29" s="32">
        <f t="shared" si="7"/>
        <v>3</v>
      </c>
      <c r="H29" s="32">
        <f t="shared" si="7"/>
        <v>32.5</v>
      </c>
      <c r="I29" s="32">
        <f t="shared" si="7"/>
        <v>25</v>
      </c>
      <c r="J29" s="32">
        <f t="shared" si="7"/>
        <v>50</v>
      </c>
      <c r="K29" s="32">
        <f t="shared" si="7"/>
        <v>50</v>
      </c>
      <c r="L29" s="32">
        <f t="shared" si="7"/>
        <v>50</v>
      </c>
      <c r="M29" s="32">
        <f t="shared" si="7"/>
        <v>33.3</v>
      </c>
      <c r="N29" s="32">
        <f t="shared" si="7"/>
        <v>90.113</v>
      </c>
      <c r="O29" s="32">
        <f t="shared" si="7"/>
        <v>91.41</v>
      </c>
      <c r="P29" s="32">
        <f t="shared" si="7"/>
        <v>86.652</v>
      </c>
      <c r="Q29" s="32">
        <f t="shared" si="7"/>
        <v>90.883</v>
      </c>
      <c r="R29" s="32">
        <f t="shared" si="7"/>
        <v>90.027</v>
      </c>
      <c r="S29" s="32">
        <f t="shared" si="7"/>
        <v>90.633</v>
      </c>
      <c r="T29" s="32">
        <f t="shared" si="7"/>
        <v>46.5</v>
      </c>
      <c r="U29" s="32">
        <f t="shared" si="7"/>
        <v>46.5</v>
      </c>
      <c r="V29" s="32">
        <f t="shared" si="7"/>
        <v>46.5</v>
      </c>
      <c r="W29" s="32">
        <f t="shared" si="7"/>
        <v>46.5</v>
      </c>
      <c r="X29" s="32">
        <f t="shared" si="7"/>
        <v>46.5</v>
      </c>
      <c r="Y29" s="32">
        <f t="shared" si="7"/>
        <v>46.5</v>
      </c>
      <c r="Z29" s="32">
        <f t="shared" si="7"/>
        <v>120.92</v>
      </c>
      <c r="AA29" s="32">
        <f t="shared" si="7"/>
        <v>129.79</v>
      </c>
      <c r="AB29" s="32">
        <f t="shared" si="7"/>
        <v>139.14</v>
      </c>
      <c r="AC29" s="32">
        <f t="shared" si="7"/>
        <v>151.06</v>
      </c>
      <c r="AD29" s="32">
        <f t="shared" si="7"/>
        <v>154.57</v>
      </c>
      <c r="AE29" s="32">
        <f t="shared" si="7"/>
        <v>158.75</v>
      </c>
      <c r="AF29" s="32">
        <f t="shared" si="7"/>
        <v>292.38</v>
      </c>
      <c r="AG29" s="32">
        <f t="shared" si="7"/>
        <v>292.38</v>
      </c>
      <c r="AH29" s="32">
        <f t="shared" si="7"/>
        <v>292.401</v>
      </c>
      <c r="AI29" s="32">
        <f t="shared" si="7"/>
        <v>292.401</v>
      </c>
      <c r="AJ29" s="32">
        <f t="shared" si="7"/>
        <v>292.411</v>
      </c>
      <c r="AK29" s="32">
        <f t="shared" si="7"/>
        <v>292.411</v>
      </c>
    </row>
    <row r="30">
      <c r="A30" s="31" t="s">
        <v>13</v>
      </c>
      <c r="B30" s="84">
        <f t="shared" ref="B30:AK30" si="8">STDEV(B26:B28)</f>
        <v>0</v>
      </c>
      <c r="C30" s="84">
        <f t="shared" si="8"/>
        <v>0</v>
      </c>
      <c r="D30" s="84">
        <f t="shared" si="8"/>
        <v>0</v>
      </c>
      <c r="E30" s="84">
        <f t="shared" si="8"/>
        <v>0</v>
      </c>
      <c r="F30" s="84">
        <f t="shared" si="8"/>
        <v>0</v>
      </c>
      <c r="G30" s="84">
        <f t="shared" si="8"/>
        <v>0</v>
      </c>
      <c r="H30" s="33">
        <f t="shared" si="8"/>
        <v>4.389001405</v>
      </c>
      <c r="I30" s="33">
        <f t="shared" si="8"/>
        <v>8.660254038</v>
      </c>
      <c r="J30" s="33">
        <f t="shared" si="8"/>
        <v>14.43375673</v>
      </c>
      <c r="K30" s="33">
        <f t="shared" si="8"/>
        <v>14.43375673</v>
      </c>
      <c r="L30" s="33">
        <f t="shared" si="8"/>
        <v>14.43375673</v>
      </c>
      <c r="M30" s="33">
        <f t="shared" si="8"/>
        <v>12.73302792</v>
      </c>
      <c r="N30" s="34">
        <f t="shared" si="8"/>
        <v>1.532028829</v>
      </c>
      <c r="O30" s="34">
        <f t="shared" si="8"/>
        <v>1.594320336</v>
      </c>
      <c r="P30" s="34">
        <f t="shared" si="8"/>
        <v>2.493011098</v>
      </c>
      <c r="Q30" s="34">
        <f t="shared" si="8"/>
        <v>0.6162356151</v>
      </c>
      <c r="R30" s="34">
        <f t="shared" si="8"/>
        <v>0.7698079847</v>
      </c>
      <c r="S30" s="34">
        <f t="shared" si="8"/>
        <v>0.8950150837</v>
      </c>
      <c r="T30" s="35">
        <f t="shared" si="8"/>
        <v>0</v>
      </c>
      <c r="U30" s="35">
        <f t="shared" si="8"/>
        <v>0</v>
      </c>
      <c r="V30" s="35">
        <f t="shared" si="8"/>
        <v>0</v>
      </c>
      <c r="W30" s="35">
        <f t="shared" si="8"/>
        <v>0</v>
      </c>
      <c r="X30" s="35">
        <f t="shared" si="8"/>
        <v>0</v>
      </c>
      <c r="Y30" s="35">
        <f t="shared" si="8"/>
        <v>0</v>
      </c>
      <c r="Z30" s="34">
        <f t="shared" si="8"/>
        <v>74.73972259</v>
      </c>
      <c r="AA30" s="34">
        <f t="shared" si="8"/>
        <v>73.87642587</v>
      </c>
      <c r="AB30" s="34">
        <f t="shared" si="8"/>
        <v>76.08901782</v>
      </c>
      <c r="AC30" s="34">
        <f t="shared" si="8"/>
        <v>74.75006444</v>
      </c>
      <c r="AD30" s="34">
        <f t="shared" si="8"/>
        <v>75.28082381</v>
      </c>
      <c r="AE30" s="34">
        <f t="shared" si="8"/>
        <v>77.51386091</v>
      </c>
      <c r="AF30" s="34">
        <f t="shared" si="8"/>
        <v>2.255979019</v>
      </c>
      <c r="AG30" s="34">
        <f t="shared" si="8"/>
        <v>0.07000238091</v>
      </c>
      <c r="AH30" s="34">
        <f t="shared" si="8"/>
        <v>0.07</v>
      </c>
      <c r="AI30" s="34">
        <f t="shared" si="8"/>
        <v>0.07</v>
      </c>
      <c r="AJ30" s="34">
        <f t="shared" si="8"/>
        <v>0.07</v>
      </c>
      <c r="AK30" s="34">
        <f t="shared" si="8"/>
        <v>0.07</v>
      </c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AF31" s="36"/>
      <c r="AG31" s="36"/>
      <c r="AH31" s="36"/>
      <c r="AI31" s="36"/>
      <c r="AJ31" s="36"/>
      <c r="AK31" s="36"/>
    </row>
    <row r="32">
      <c r="A32" s="85" t="s">
        <v>137</v>
      </c>
      <c r="B32" s="86">
        <f t="shared" ref="B32:G32" si="9">MEDIAN(B8,B15,B22,B29)</f>
        <v>3</v>
      </c>
      <c r="C32" s="86">
        <f t="shared" si="9"/>
        <v>3</v>
      </c>
      <c r="D32" s="86">
        <f t="shared" si="9"/>
        <v>3</v>
      </c>
      <c r="E32" s="86">
        <f t="shared" si="9"/>
        <v>3</v>
      </c>
      <c r="F32" s="86">
        <f t="shared" si="9"/>
        <v>3</v>
      </c>
      <c r="G32" s="86">
        <f t="shared" si="9"/>
        <v>3</v>
      </c>
      <c r="H32" s="86">
        <f t="shared" ref="H32:AK32" si="10">MEDIAN(H8,H15,H22)</f>
        <v>32.3</v>
      </c>
      <c r="I32" s="86">
        <f t="shared" si="10"/>
        <v>28.2</v>
      </c>
      <c r="J32" s="86">
        <f t="shared" si="10"/>
        <v>25</v>
      </c>
      <c r="K32" s="86">
        <f t="shared" si="10"/>
        <v>25</v>
      </c>
      <c r="L32" s="86">
        <f t="shared" si="10"/>
        <v>25</v>
      </c>
      <c r="M32" s="86">
        <f t="shared" si="10"/>
        <v>25</v>
      </c>
      <c r="N32" s="86">
        <f t="shared" si="10"/>
        <v>80.977</v>
      </c>
      <c r="O32" s="86">
        <f t="shared" si="10"/>
        <v>84.988</v>
      </c>
      <c r="P32" s="86">
        <f t="shared" si="10"/>
        <v>84.301</v>
      </c>
      <c r="Q32" s="86">
        <f t="shared" si="10"/>
        <v>84.469</v>
      </c>
      <c r="R32" s="86">
        <f t="shared" si="10"/>
        <v>81.734</v>
      </c>
      <c r="S32" s="86">
        <f t="shared" si="10"/>
        <v>84.816</v>
      </c>
      <c r="T32" s="86">
        <f t="shared" si="10"/>
        <v>45.5</v>
      </c>
      <c r="U32" s="86">
        <f t="shared" si="10"/>
        <v>45.5</v>
      </c>
      <c r="V32" s="86">
        <f t="shared" si="10"/>
        <v>45.5</v>
      </c>
      <c r="W32" s="86">
        <f t="shared" si="10"/>
        <v>45.5</v>
      </c>
      <c r="X32" s="86">
        <f t="shared" si="10"/>
        <v>45.5</v>
      </c>
      <c r="Y32" s="86">
        <f t="shared" si="10"/>
        <v>45.5</v>
      </c>
      <c r="Z32" s="86">
        <f t="shared" si="10"/>
        <v>127.97</v>
      </c>
      <c r="AA32" s="86">
        <f t="shared" si="10"/>
        <v>138.73</v>
      </c>
      <c r="AB32" s="86">
        <f t="shared" si="10"/>
        <v>152.45</v>
      </c>
      <c r="AC32" s="86">
        <f t="shared" si="10"/>
        <v>162.76</v>
      </c>
      <c r="AD32" s="86">
        <f t="shared" si="10"/>
        <v>167.93</v>
      </c>
      <c r="AE32" s="86">
        <f t="shared" si="10"/>
        <v>171.02</v>
      </c>
      <c r="AF32" s="86">
        <f t="shared" si="10"/>
        <v>282.57</v>
      </c>
      <c r="AG32" s="86">
        <f t="shared" si="10"/>
        <v>282.57</v>
      </c>
      <c r="AH32" s="86">
        <f t="shared" si="10"/>
        <v>282.57</v>
      </c>
      <c r="AI32" s="86">
        <f t="shared" si="10"/>
        <v>282.57</v>
      </c>
      <c r="AJ32" s="86">
        <f t="shared" si="10"/>
        <v>286.7</v>
      </c>
      <c r="AK32" s="86">
        <f t="shared" si="10"/>
        <v>286.7</v>
      </c>
    </row>
    <row r="33">
      <c r="A33" s="85" t="s">
        <v>138</v>
      </c>
      <c r="B33" s="87">
        <f t="shared" ref="B33:G33" si="11">STDEV(B9,B16,B23,B30)</f>
        <v>0</v>
      </c>
      <c r="C33" s="87">
        <f t="shared" si="11"/>
        <v>0</v>
      </c>
      <c r="D33" s="87">
        <f t="shared" si="11"/>
        <v>0</v>
      </c>
      <c r="E33" s="87">
        <f t="shared" si="11"/>
        <v>0</v>
      </c>
      <c r="F33" s="87">
        <f t="shared" si="11"/>
        <v>0</v>
      </c>
      <c r="G33" s="87">
        <f t="shared" si="11"/>
        <v>0</v>
      </c>
      <c r="H33" s="88">
        <f t="shared" ref="H33:AK33" si="12">STDEV(H5:H7,H12:H14,H19:H21)</f>
        <v>10.17776716</v>
      </c>
      <c r="I33" s="88">
        <f t="shared" si="12"/>
        <v>12.27685265</v>
      </c>
      <c r="J33" s="88">
        <f t="shared" si="12"/>
        <v>8.572306833</v>
      </c>
      <c r="K33" s="88">
        <f t="shared" si="12"/>
        <v>11.5582342</v>
      </c>
      <c r="L33" s="88">
        <f t="shared" si="12"/>
        <v>13.22010254</v>
      </c>
      <c r="M33" s="88">
        <f t="shared" si="12"/>
        <v>11.06011352</v>
      </c>
      <c r="N33" s="88">
        <f t="shared" si="12"/>
        <v>2.60884643</v>
      </c>
      <c r="O33" s="88">
        <f t="shared" si="12"/>
        <v>1.624712214</v>
      </c>
      <c r="P33" s="88">
        <f t="shared" si="12"/>
        <v>1.686297432</v>
      </c>
      <c r="Q33" s="88">
        <f t="shared" si="12"/>
        <v>1.479009334</v>
      </c>
      <c r="R33" s="88">
        <f t="shared" si="12"/>
        <v>1.765626172</v>
      </c>
      <c r="S33" s="88">
        <f t="shared" si="12"/>
        <v>1.708491082</v>
      </c>
      <c r="T33" s="88">
        <f t="shared" si="12"/>
        <v>0.1666666667</v>
      </c>
      <c r="U33" s="88">
        <f t="shared" si="12"/>
        <v>0</v>
      </c>
      <c r="V33" s="88">
        <f t="shared" si="12"/>
        <v>0.1666666667</v>
      </c>
      <c r="W33" s="88">
        <f t="shared" si="12"/>
        <v>0</v>
      </c>
      <c r="X33" s="88">
        <f t="shared" si="12"/>
        <v>0</v>
      </c>
      <c r="Y33" s="88">
        <f t="shared" si="12"/>
        <v>0</v>
      </c>
      <c r="Z33" s="88">
        <f t="shared" si="12"/>
        <v>70.56860931</v>
      </c>
      <c r="AA33" s="88">
        <f t="shared" si="12"/>
        <v>71.26160153</v>
      </c>
      <c r="AB33" s="88">
        <f t="shared" si="12"/>
        <v>72.92994892</v>
      </c>
      <c r="AC33" s="88">
        <f t="shared" si="12"/>
        <v>71.13784373</v>
      </c>
      <c r="AD33" s="88">
        <f t="shared" si="12"/>
        <v>71.80145072</v>
      </c>
      <c r="AE33" s="88">
        <f t="shared" si="12"/>
        <v>72.77424363</v>
      </c>
      <c r="AF33" s="88">
        <f t="shared" si="12"/>
        <v>13.85172589</v>
      </c>
      <c r="AG33" s="88">
        <f t="shared" si="12"/>
        <v>13.24126916</v>
      </c>
      <c r="AH33" s="88">
        <f t="shared" si="12"/>
        <v>13.24046535</v>
      </c>
      <c r="AI33" s="88">
        <f t="shared" si="12"/>
        <v>13.24046535</v>
      </c>
      <c r="AJ33" s="88">
        <f t="shared" si="12"/>
        <v>17.32440266</v>
      </c>
      <c r="AK33" s="88">
        <f t="shared" si="12"/>
        <v>17.32440266</v>
      </c>
    </row>
    <row r="34">
      <c r="B34" s="89"/>
      <c r="C34" s="90"/>
      <c r="D34" s="90"/>
      <c r="E34" s="90"/>
      <c r="F34" s="90"/>
      <c r="G34" s="90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2"/>
      <c r="AA34" s="92"/>
      <c r="AB34" s="92"/>
      <c r="AC34" s="92"/>
      <c r="AD34" s="92"/>
      <c r="AE34" s="92"/>
      <c r="AF34" s="91"/>
      <c r="AG34" s="91"/>
      <c r="AH34" s="91"/>
      <c r="AI34" s="91"/>
      <c r="AJ34" s="91"/>
      <c r="AK34" s="91"/>
    </row>
    <row r="35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AF35" s="36"/>
      <c r="AG35" s="36"/>
      <c r="AH35" s="36"/>
      <c r="AI35" s="36"/>
      <c r="AJ35" s="36"/>
      <c r="AK35" s="36"/>
    </row>
    <row r="36">
      <c r="A36" s="93" t="s">
        <v>139</v>
      </c>
      <c r="B36" s="93" t="s">
        <v>140</v>
      </c>
      <c r="C36" s="93" t="s">
        <v>141</v>
      </c>
      <c r="D36" s="93" t="s">
        <v>142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AF36" s="36"/>
      <c r="AG36" s="36"/>
      <c r="AH36" s="36"/>
      <c r="AI36" s="36"/>
      <c r="AJ36" s="36"/>
      <c r="AK36" s="36"/>
    </row>
    <row r="37">
      <c r="A37" s="94" t="s">
        <v>129</v>
      </c>
      <c r="B37" s="95">
        <f>SUM(B5:G7,B12:G14,B19:G21)</f>
        <v>162</v>
      </c>
      <c r="C37" s="94" t="s">
        <v>143</v>
      </c>
      <c r="D37" s="94" t="s">
        <v>143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AF37" s="36"/>
      <c r="AG37" s="36"/>
      <c r="AH37" s="36"/>
      <c r="AI37" s="36"/>
      <c r="AJ37" s="36"/>
      <c r="AK37" s="36"/>
    </row>
    <row r="38">
      <c r="A38" s="94" t="s">
        <v>130</v>
      </c>
      <c r="B38" s="94" t="s">
        <v>143</v>
      </c>
      <c r="C38" s="95">
        <f>MEDIAN(H32:M32)</f>
        <v>25</v>
      </c>
      <c r="D38" s="96">
        <f>STDEV(H5:M7,H12:M14,H19:M21)</f>
        <v>10.79497644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AF38" s="36"/>
      <c r="AG38" s="36"/>
      <c r="AH38" s="36"/>
      <c r="AI38" s="36"/>
      <c r="AJ38" s="36"/>
      <c r="AK38" s="36"/>
    </row>
    <row r="39">
      <c r="A39" s="94" t="s">
        <v>131</v>
      </c>
      <c r="B39" s="94" t="s">
        <v>143</v>
      </c>
      <c r="C39" s="95">
        <f>MEDIAN(N32:S32)</f>
        <v>84.385</v>
      </c>
      <c r="D39" s="97">
        <f>STDEV(N5:S7,N12:S14,N19:S21)</f>
        <v>1.938639027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AF39" s="36"/>
      <c r="AG39" s="36"/>
      <c r="AH39" s="36"/>
      <c r="AI39" s="36"/>
      <c r="AJ39" s="36"/>
      <c r="AK39" s="36"/>
    </row>
    <row r="40">
      <c r="A40" s="94" t="s">
        <v>144</v>
      </c>
      <c r="B40" s="94" t="s">
        <v>143</v>
      </c>
      <c r="C40" s="95">
        <f>MEDIAN(T32:Y32)</f>
        <v>45.5</v>
      </c>
      <c r="D40" s="96">
        <f>STDEV(T5:Y7,T12:Y14,T19:Y21)</f>
        <v>0.09531293855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AF40" s="36"/>
      <c r="AG40" s="36"/>
      <c r="AH40" s="36"/>
      <c r="AI40" s="36"/>
      <c r="AJ40" s="36"/>
      <c r="AK40" s="36"/>
    </row>
    <row r="41">
      <c r="A41" s="94" t="s">
        <v>133</v>
      </c>
      <c r="B41" s="94" t="s">
        <v>143</v>
      </c>
      <c r="C41" s="95">
        <f>MEDIAN(Z32:AE32)</f>
        <v>157.605</v>
      </c>
      <c r="D41" s="96">
        <f>STDEV(Z5:AE7,Z12:AE14,Z19:AE21)</f>
        <v>69.95694023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AF41" s="36"/>
      <c r="AG41" s="36"/>
      <c r="AH41" s="36"/>
      <c r="AI41" s="36"/>
      <c r="AJ41" s="36"/>
      <c r="AK41" s="36"/>
    </row>
    <row r="42">
      <c r="A42" s="98" t="s">
        <v>134</v>
      </c>
      <c r="B42" s="98" t="s">
        <v>143</v>
      </c>
      <c r="C42" s="99">
        <f>MEDIAN(AF32:AK32)</f>
        <v>282.57</v>
      </c>
      <c r="D42" s="100">
        <f>STDEV(AF5:AK7,AF12:AK14,AF19:AK21)</f>
        <v>14.29943298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AF42" s="36"/>
      <c r="AG42" s="36"/>
      <c r="AH42" s="36"/>
      <c r="AI42" s="36"/>
      <c r="AJ42" s="36"/>
      <c r="AK42" s="36"/>
    </row>
    <row r="43">
      <c r="A43" s="101"/>
      <c r="B43" s="101"/>
      <c r="C43" s="101"/>
      <c r="D43" s="101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AF43" s="36"/>
      <c r="AG43" s="36"/>
      <c r="AH43" s="36"/>
      <c r="AI43" s="36"/>
      <c r="AJ43" s="36"/>
      <c r="AK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AF44" s="36"/>
      <c r="AG44" s="36"/>
      <c r="AH44" s="36"/>
      <c r="AI44" s="36"/>
      <c r="AJ44" s="36"/>
      <c r="AK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AF45" s="36"/>
      <c r="AG45" s="36"/>
      <c r="AH45" s="36"/>
      <c r="AI45" s="36"/>
      <c r="AJ45" s="36"/>
      <c r="AK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AF46" s="36"/>
      <c r="AG46" s="36"/>
      <c r="AH46" s="36"/>
      <c r="AI46" s="36"/>
      <c r="AJ46" s="36"/>
      <c r="AK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AF47" s="36"/>
      <c r="AG47" s="36"/>
      <c r="AH47" s="36"/>
      <c r="AI47" s="36"/>
      <c r="AJ47" s="36"/>
      <c r="AK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AF48" s="36"/>
      <c r="AG48" s="36"/>
      <c r="AH48" s="36"/>
      <c r="AI48" s="36"/>
      <c r="AJ48" s="36"/>
      <c r="AK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AF49" s="36"/>
      <c r="AG49" s="36"/>
      <c r="AH49" s="36"/>
      <c r="AI49" s="36"/>
      <c r="AJ49" s="36"/>
      <c r="AK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AF50" s="36"/>
      <c r="AG50" s="36"/>
      <c r="AH50" s="36"/>
      <c r="AI50" s="36"/>
      <c r="AJ50" s="36"/>
      <c r="AK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AF51" s="36"/>
      <c r="AG51" s="36"/>
      <c r="AH51" s="36"/>
      <c r="AI51" s="36"/>
      <c r="AJ51" s="36"/>
      <c r="AK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AF52" s="36"/>
      <c r="AG52" s="36"/>
      <c r="AH52" s="36"/>
      <c r="AI52" s="36"/>
      <c r="AJ52" s="36"/>
      <c r="AK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AF53" s="36"/>
      <c r="AG53" s="36"/>
      <c r="AH53" s="36"/>
      <c r="AI53" s="36"/>
      <c r="AJ53" s="36"/>
      <c r="AK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AF54" s="36"/>
      <c r="AG54" s="36"/>
      <c r="AH54" s="36"/>
      <c r="AI54" s="36"/>
      <c r="AJ54" s="36"/>
      <c r="AK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AF55" s="36"/>
      <c r="AG55" s="36"/>
      <c r="AH55" s="36"/>
      <c r="AI55" s="36"/>
      <c r="AJ55" s="36"/>
      <c r="AK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AF56" s="36"/>
      <c r="AG56" s="36"/>
      <c r="AH56" s="36"/>
      <c r="AI56" s="36"/>
      <c r="AJ56" s="36"/>
      <c r="AK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AF57" s="36"/>
      <c r="AG57" s="36"/>
      <c r="AH57" s="36"/>
      <c r="AI57" s="36"/>
      <c r="AJ57" s="36"/>
      <c r="AK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AF58" s="36"/>
      <c r="AG58" s="36"/>
      <c r="AH58" s="36"/>
      <c r="AI58" s="36"/>
      <c r="AJ58" s="36"/>
      <c r="AK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AF59" s="36"/>
      <c r="AG59" s="36"/>
      <c r="AH59" s="36"/>
      <c r="AI59" s="36"/>
      <c r="AJ59" s="36"/>
      <c r="AK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AF60" s="36"/>
      <c r="AG60" s="36"/>
      <c r="AH60" s="36"/>
      <c r="AI60" s="36"/>
      <c r="AJ60" s="36"/>
      <c r="AK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AF61" s="36"/>
      <c r="AG61" s="36"/>
      <c r="AH61" s="36"/>
      <c r="AI61" s="36"/>
      <c r="AJ61" s="36"/>
      <c r="AK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AF62" s="36"/>
      <c r="AG62" s="36"/>
      <c r="AH62" s="36"/>
      <c r="AI62" s="36"/>
      <c r="AJ62" s="36"/>
      <c r="AK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AF63" s="36"/>
      <c r="AG63" s="36"/>
      <c r="AH63" s="36"/>
      <c r="AI63" s="36"/>
      <c r="AJ63" s="36"/>
      <c r="AK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AF64" s="36"/>
      <c r="AG64" s="36"/>
      <c r="AH64" s="36"/>
      <c r="AI64" s="36"/>
      <c r="AJ64" s="36"/>
      <c r="AK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AF65" s="36"/>
      <c r="AG65" s="36"/>
      <c r="AH65" s="36"/>
      <c r="AI65" s="36"/>
      <c r="AJ65" s="36"/>
      <c r="AK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AF66" s="36"/>
      <c r="AG66" s="36"/>
      <c r="AH66" s="36"/>
      <c r="AI66" s="36"/>
      <c r="AJ66" s="36"/>
      <c r="AK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AF67" s="36"/>
      <c r="AG67" s="36"/>
      <c r="AH67" s="36"/>
      <c r="AI67" s="36"/>
      <c r="AJ67" s="36"/>
      <c r="AK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AF68" s="36"/>
      <c r="AG68" s="36"/>
      <c r="AH68" s="36"/>
      <c r="AI68" s="36"/>
      <c r="AJ68" s="36"/>
      <c r="AK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AF69" s="36"/>
      <c r="AG69" s="36"/>
      <c r="AH69" s="36"/>
      <c r="AI69" s="36"/>
      <c r="AJ69" s="36"/>
      <c r="AK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AF70" s="36"/>
      <c r="AG70" s="36"/>
      <c r="AH70" s="36"/>
      <c r="AI70" s="36"/>
      <c r="AJ70" s="36"/>
      <c r="AK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AF71" s="36"/>
      <c r="AG71" s="36"/>
      <c r="AH71" s="36"/>
      <c r="AI71" s="36"/>
      <c r="AJ71" s="36"/>
      <c r="AK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AF72" s="36"/>
      <c r="AG72" s="36"/>
      <c r="AH72" s="36"/>
      <c r="AI72" s="36"/>
      <c r="AJ72" s="36"/>
      <c r="AK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AF73" s="36"/>
      <c r="AG73" s="36"/>
      <c r="AH73" s="36"/>
      <c r="AI73" s="36"/>
      <c r="AJ73" s="36"/>
      <c r="AK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AF74" s="36"/>
      <c r="AG74" s="36"/>
      <c r="AH74" s="36"/>
      <c r="AI74" s="36"/>
      <c r="AJ74" s="36"/>
      <c r="AK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AF75" s="36"/>
      <c r="AG75" s="36"/>
      <c r="AH75" s="36"/>
      <c r="AI75" s="36"/>
      <c r="AJ75" s="36"/>
      <c r="AK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AF76" s="36"/>
      <c r="AG76" s="36"/>
      <c r="AH76" s="36"/>
      <c r="AI76" s="36"/>
      <c r="AJ76" s="36"/>
      <c r="AK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AF77" s="36"/>
      <c r="AG77" s="36"/>
      <c r="AH77" s="36"/>
      <c r="AI77" s="36"/>
      <c r="AJ77" s="36"/>
      <c r="AK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AF78" s="36"/>
      <c r="AG78" s="36"/>
      <c r="AH78" s="36"/>
      <c r="AI78" s="36"/>
      <c r="AJ78" s="36"/>
      <c r="AK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AF79" s="36"/>
      <c r="AG79" s="36"/>
      <c r="AH79" s="36"/>
      <c r="AI79" s="36"/>
      <c r="AJ79" s="36"/>
      <c r="AK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AF80" s="36"/>
      <c r="AG80" s="36"/>
      <c r="AH80" s="36"/>
      <c r="AI80" s="36"/>
      <c r="AJ80" s="36"/>
      <c r="AK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AF81" s="36"/>
      <c r="AG81" s="36"/>
      <c r="AH81" s="36"/>
      <c r="AI81" s="36"/>
      <c r="AJ81" s="36"/>
      <c r="AK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AF82" s="36"/>
      <c r="AG82" s="36"/>
      <c r="AH82" s="36"/>
      <c r="AI82" s="36"/>
      <c r="AJ82" s="36"/>
      <c r="AK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AF83" s="36"/>
      <c r="AG83" s="36"/>
      <c r="AH83" s="36"/>
      <c r="AI83" s="36"/>
      <c r="AJ83" s="36"/>
      <c r="AK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AF84" s="36"/>
      <c r="AG84" s="36"/>
      <c r="AH84" s="36"/>
      <c r="AI84" s="36"/>
      <c r="AJ84" s="36"/>
      <c r="AK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AF85" s="36"/>
      <c r="AG85" s="36"/>
      <c r="AH85" s="36"/>
      <c r="AI85" s="36"/>
      <c r="AJ85" s="36"/>
      <c r="AK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AF86" s="36"/>
      <c r="AG86" s="36"/>
      <c r="AH86" s="36"/>
      <c r="AI86" s="36"/>
      <c r="AJ86" s="36"/>
      <c r="AK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AF87" s="36"/>
      <c r="AG87" s="36"/>
      <c r="AH87" s="36"/>
      <c r="AI87" s="36"/>
      <c r="AJ87" s="36"/>
      <c r="AK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AF88" s="36"/>
      <c r="AG88" s="36"/>
      <c r="AH88" s="36"/>
      <c r="AI88" s="36"/>
      <c r="AJ88" s="36"/>
      <c r="AK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AF89" s="36"/>
      <c r="AG89" s="36"/>
      <c r="AH89" s="36"/>
      <c r="AI89" s="36"/>
      <c r="AJ89" s="36"/>
      <c r="AK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AF90" s="36"/>
      <c r="AG90" s="36"/>
      <c r="AH90" s="36"/>
      <c r="AI90" s="36"/>
      <c r="AJ90" s="36"/>
      <c r="AK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AF91" s="36"/>
      <c r="AG91" s="36"/>
      <c r="AH91" s="36"/>
      <c r="AI91" s="36"/>
      <c r="AJ91" s="36"/>
      <c r="AK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AF92" s="36"/>
      <c r="AG92" s="36"/>
      <c r="AH92" s="36"/>
      <c r="AI92" s="36"/>
      <c r="AJ92" s="36"/>
      <c r="AK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AF93" s="36"/>
      <c r="AG93" s="36"/>
      <c r="AH93" s="36"/>
      <c r="AI93" s="36"/>
      <c r="AJ93" s="36"/>
      <c r="AK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AF94" s="36"/>
      <c r="AG94" s="36"/>
      <c r="AH94" s="36"/>
      <c r="AI94" s="36"/>
      <c r="AJ94" s="36"/>
      <c r="AK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AF95" s="36"/>
      <c r="AG95" s="36"/>
      <c r="AH95" s="36"/>
      <c r="AI95" s="36"/>
      <c r="AJ95" s="36"/>
      <c r="AK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AF96" s="36"/>
      <c r="AG96" s="36"/>
      <c r="AH96" s="36"/>
      <c r="AI96" s="36"/>
      <c r="AJ96" s="36"/>
      <c r="AK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AF97" s="36"/>
      <c r="AG97" s="36"/>
      <c r="AH97" s="36"/>
      <c r="AI97" s="36"/>
      <c r="AJ97" s="36"/>
      <c r="AK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AF98" s="36"/>
      <c r="AG98" s="36"/>
      <c r="AH98" s="36"/>
      <c r="AI98" s="36"/>
      <c r="AJ98" s="36"/>
      <c r="AK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AF99" s="36"/>
      <c r="AG99" s="36"/>
      <c r="AH99" s="36"/>
      <c r="AI99" s="36"/>
      <c r="AJ99" s="36"/>
      <c r="AK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AF100" s="36"/>
      <c r="AG100" s="36"/>
      <c r="AH100" s="36"/>
      <c r="AI100" s="36"/>
      <c r="AJ100" s="36"/>
      <c r="AK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AF101" s="36"/>
      <c r="AG101" s="36"/>
      <c r="AH101" s="36"/>
      <c r="AI101" s="36"/>
      <c r="AJ101" s="36"/>
      <c r="AK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AF102" s="36"/>
      <c r="AG102" s="36"/>
      <c r="AH102" s="36"/>
      <c r="AI102" s="36"/>
      <c r="AJ102" s="36"/>
      <c r="AK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AF103" s="36"/>
      <c r="AG103" s="36"/>
      <c r="AH103" s="36"/>
      <c r="AI103" s="36"/>
      <c r="AJ103" s="36"/>
      <c r="AK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AF104" s="36"/>
      <c r="AG104" s="36"/>
      <c r="AH104" s="36"/>
      <c r="AI104" s="36"/>
      <c r="AJ104" s="36"/>
      <c r="AK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AF105" s="36"/>
      <c r="AG105" s="36"/>
      <c r="AH105" s="36"/>
      <c r="AI105" s="36"/>
      <c r="AJ105" s="36"/>
      <c r="AK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AF106" s="36"/>
      <c r="AG106" s="36"/>
      <c r="AH106" s="36"/>
      <c r="AI106" s="36"/>
      <c r="AJ106" s="36"/>
      <c r="AK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AF107" s="36"/>
      <c r="AG107" s="36"/>
      <c r="AH107" s="36"/>
      <c r="AI107" s="36"/>
      <c r="AJ107" s="36"/>
      <c r="AK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AF108" s="36"/>
      <c r="AG108" s="36"/>
      <c r="AH108" s="36"/>
      <c r="AI108" s="36"/>
      <c r="AJ108" s="36"/>
      <c r="AK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AF109" s="36"/>
      <c r="AG109" s="36"/>
      <c r="AH109" s="36"/>
      <c r="AI109" s="36"/>
      <c r="AJ109" s="36"/>
      <c r="AK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AF110" s="36"/>
      <c r="AG110" s="36"/>
      <c r="AH110" s="36"/>
      <c r="AI110" s="36"/>
      <c r="AJ110" s="36"/>
      <c r="AK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AF111" s="36"/>
      <c r="AG111" s="36"/>
      <c r="AH111" s="36"/>
      <c r="AI111" s="36"/>
      <c r="AJ111" s="36"/>
      <c r="AK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AF112" s="36"/>
      <c r="AG112" s="36"/>
      <c r="AH112" s="36"/>
      <c r="AI112" s="36"/>
      <c r="AJ112" s="36"/>
      <c r="AK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AF113" s="36"/>
      <c r="AG113" s="36"/>
      <c r="AH113" s="36"/>
      <c r="AI113" s="36"/>
      <c r="AJ113" s="36"/>
      <c r="AK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AF114" s="36"/>
      <c r="AG114" s="36"/>
      <c r="AH114" s="36"/>
      <c r="AI114" s="36"/>
      <c r="AJ114" s="36"/>
      <c r="AK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AF115" s="36"/>
      <c r="AG115" s="36"/>
      <c r="AH115" s="36"/>
      <c r="AI115" s="36"/>
      <c r="AJ115" s="36"/>
      <c r="AK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AF116" s="36"/>
      <c r="AG116" s="36"/>
      <c r="AH116" s="36"/>
      <c r="AI116" s="36"/>
      <c r="AJ116" s="36"/>
      <c r="AK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AF117" s="36"/>
      <c r="AG117" s="36"/>
      <c r="AH117" s="36"/>
      <c r="AI117" s="36"/>
      <c r="AJ117" s="36"/>
      <c r="AK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AF118" s="36"/>
      <c r="AG118" s="36"/>
      <c r="AH118" s="36"/>
      <c r="AI118" s="36"/>
      <c r="AJ118" s="36"/>
      <c r="AK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AF119" s="36"/>
      <c r="AG119" s="36"/>
      <c r="AH119" s="36"/>
      <c r="AI119" s="36"/>
      <c r="AJ119" s="36"/>
      <c r="AK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AF120" s="36"/>
      <c r="AG120" s="36"/>
      <c r="AH120" s="36"/>
      <c r="AI120" s="36"/>
      <c r="AJ120" s="36"/>
      <c r="AK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AF121" s="36"/>
      <c r="AG121" s="36"/>
      <c r="AH121" s="36"/>
      <c r="AI121" s="36"/>
      <c r="AJ121" s="36"/>
      <c r="AK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AF122" s="36"/>
      <c r="AG122" s="36"/>
      <c r="AH122" s="36"/>
      <c r="AI122" s="36"/>
      <c r="AJ122" s="36"/>
      <c r="AK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AF123" s="36"/>
      <c r="AG123" s="36"/>
      <c r="AH123" s="36"/>
      <c r="AI123" s="36"/>
      <c r="AJ123" s="36"/>
      <c r="AK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AF124" s="36"/>
      <c r="AG124" s="36"/>
      <c r="AH124" s="36"/>
      <c r="AI124" s="36"/>
      <c r="AJ124" s="36"/>
      <c r="AK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AF125" s="36"/>
      <c r="AG125" s="36"/>
      <c r="AH125" s="36"/>
      <c r="AI125" s="36"/>
      <c r="AJ125" s="36"/>
      <c r="AK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AF126" s="36"/>
      <c r="AG126" s="36"/>
      <c r="AH126" s="36"/>
      <c r="AI126" s="36"/>
      <c r="AJ126" s="36"/>
      <c r="AK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AF127" s="36"/>
      <c r="AG127" s="36"/>
      <c r="AH127" s="36"/>
      <c r="AI127" s="36"/>
      <c r="AJ127" s="36"/>
      <c r="AK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AF128" s="36"/>
      <c r="AG128" s="36"/>
      <c r="AH128" s="36"/>
      <c r="AI128" s="36"/>
      <c r="AJ128" s="36"/>
      <c r="AK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AF129" s="36"/>
      <c r="AG129" s="36"/>
      <c r="AH129" s="36"/>
      <c r="AI129" s="36"/>
      <c r="AJ129" s="36"/>
      <c r="AK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AF130" s="36"/>
      <c r="AG130" s="36"/>
      <c r="AH130" s="36"/>
      <c r="AI130" s="36"/>
      <c r="AJ130" s="36"/>
      <c r="AK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AF131" s="36"/>
      <c r="AG131" s="36"/>
      <c r="AH131" s="36"/>
      <c r="AI131" s="36"/>
      <c r="AJ131" s="36"/>
      <c r="AK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AF132" s="36"/>
      <c r="AG132" s="36"/>
      <c r="AH132" s="36"/>
      <c r="AI132" s="36"/>
      <c r="AJ132" s="36"/>
      <c r="AK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AF133" s="36"/>
      <c r="AG133" s="36"/>
      <c r="AH133" s="36"/>
      <c r="AI133" s="36"/>
      <c r="AJ133" s="36"/>
      <c r="AK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AF134" s="36"/>
      <c r="AG134" s="36"/>
      <c r="AH134" s="36"/>
      <c r="AI134" s="36"/>
      <c r="AJ134" s="36"/>
      <c r="AK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AF135" s="36"/>
      <c r="AG135" s="36"/>
      <c r="AH135" s="36"/>
      <c r="AI135" s="36"/>
      <c r="AJ135" s="36"/>
      <c r="AK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AF136" s="36"/>
      <c r="AG136" s="36"/>
      <c r="AH136" s="36"/>
      <c r="AI136" s="36"/>
      <c r="AJ136" s="36"/>
      <c r="AK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AF137" s="36"/>
      <c r="AG137" s="36"/>
      <c r="AH137" s="36"/>
      <c r="AI137" s="36"/>
      <c r="AJ137" s="36"/>
      <c r="AK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AF138" s="36"/>
      <c r="AG138" s="36"/>
      <c r="AH138" s="36"/>
      <c r="AI138" s="36"/>
      <c r="AJ138" s="36"/>
      <c r="AK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AF139" s="36"/>
      <c r="AG139" s="36"/>
      <c r="AH139" s="36"/>
      <c r="AI139" s="36"/>
      <c r="AJ139" s="36"/>
      <c r="AK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AF140" s="36"/>
      <c r="AG140" s="36"/>
      <c r="AH140" s="36"/>
      <c r="AI140" s="36"/>
      <c r="AJ140" s="36"/>
      <c r="AK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AF141" s="36"/>
      <c r="AG141" s="36"/>
      <c r="AH141" s="36"/>
      <c r="AI141" s="36"/>
      <c r="AJ141" s="36"/>
      <c r="AK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AF142" s="36"/>
      <c r="AG142" s="36"/>
      <c r="AH142" s="36"/>
      <c r="AI142" s="36"/>
      <c r="AJ142" s="36"/>
      <c r="AK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AF143" s="36"/>
      <c r="AG143" s="36"/>
      <c r="AH143" s="36"/>
      <c r="AI143" s="36"/>
      <c r="AJ143" s="36"/>
      <c r="AK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AF144" s="36"/>
      <c r="AG144" s="36"/>
      <c r="AH144" s="36"/>
      <c r="AI144" s="36"/>
      <c r="AJ144" s="36"/>
      <c r="AK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AF145" s="36"/>
      <c r="AG145" s="36"/>
      <c r="AH145" s="36"/>
      <c r="AI145" s="36"/>
      <c r="AJ145" s="36"/>
      <c r="AK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AF146" s="36"/>
      <c r="AG146" s="36"/>
      <c r="AH146" s="36"/>
      <c r="AI146" s="36"/>
      <c r="AJ146" s="36"/>
      <c r="AK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AF147" s="36"/>
      <c r="AG147" s="36"/>
      <c r="AH147" s="36"/>
      <c r="AI147" s="36"/>
      <c r="AJ147" s="36"/>
      <c r="AK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AF148" s="36"/>
      <c r="AG148" s="36"/>
      <c r="AH148" s="36"/>
      <c r="AI148" s="36"/>
      <c r="AJ148" s="36"/>
      <c r="AK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AF149" s="36"/>
      <c r="AG149" s="36"/>
      <c r="AH149" s="36"/>
      <c r="AI149" s="36"/>
      <c r="AJ149" s="36"/>
      <c r="AK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AF150" s="36"/>
      <c r="AG150" s="36"/>
      <c r="AH150" s="36"/>
      <c r="AI150" s="36"/>
      <c r="AJ150" s="36"/>
      <c r="AK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AF151" s="36"/>
      <c r="AG151" s="36"/>
      <c r="AH151" s="36"/>
      <c r="AI151" s="36"/>
      <c r="AJ151" s="36"/>
      <c r="AK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AF152" s="36"/>
      <c r="AG152" s="36"/>
      <c r="AH152" s="36"/>
      <c r="AI152" s="36"/>
      <c r="AJ152" s="36"/>
      <c r="AK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AF153" s="36"/>
      <c r="AG153" s="36"/>
      <c r="AH153" s="36"/>
      <c r="AI153" s="36"/>
      <c r="AJ153" s="36"/>
      <c r="AK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AF154" s="36"/>
      <c r="AG154" s="36"/>
      <c r="AH154" s="36"/>
      <c r="AI154" s="36"/>
      <c r="AJ154" s="36"/>
      <c r="AK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AF155" s="36"/>
      <c r="AG155" s="36"/>
      <c r="AH155" s="36"/>
      <c r="AI155" s="36"/>
      <c r="AJ155" s="36"/>
      <c r="AK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AF156" s="36"/>
      <c r="AG156" s="36"/>
      <c r="AH156" s="36"/>
      <c r="AI156" s="36"/>
      <c r="AJ156" s="36"/>
      <c r="AK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AF157" s="36"/>
      <c r="AG157" s="36"/>
      <c r="AH157" s="36"/>
      <c r="AI157" s="36"/>
      <c r="AJ157" s="36"/>
      <c r="AK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AF158" s="36"/>
      <c r="AG158" s="36"/>
      <c r="AH158" s="36"/>
      <c r="AI158" s="36"/>
      <c r="AJ158" s="36"/>
      <c r="AK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AF159" s="36"/>
      <c r="AG159" s="36"/>
      <c r="AH159" s="36"/>
      <c r="AI159" s="36"/>
      <c r="AJ159" s="36"/>
      <c r="AK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AF160" s="36"/>
      <c r="AG160" s="36"/>
      <c r="AH160" s="36"/>
      <c r="AI160" s="36"/>
      <c r="AJ160" s="36"/>
      <c r="AK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AF161" s="36"/>
      <c r="AG161" s="36"/>
      <c r="AH161" s="36"/>
      <c r="AI161" s="36"/>
      <c r="AJ161" s="36"/>
      <c r="AK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AF162" s="36"/>
      <c r="AG162" s="36"/>
      <c r="AH162" s="36"/>
      <c r="AI162" s="36"/>
      <c r="AJ162" s="36"/>
      <c r="AK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AF163" s="36"/>
      <c r="AG163" s="36"/>
      <c r="AH163" s="36"/>
      <c r="AI163" s="36"/>
      <c r="AJ163" s="36"/>
      <c r="AK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AF164" s="36"/>
      <c r="AG164" s="36"/>
      <c r="AH164" s="36"/>
      <c r="AI164" s="36"/>
      <c r="AJ164" s="36"/>
      <c r="AK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AF165" s="36"/>
      <c r="AG165" s="36"/>
      <c r="AH165" s="36"/>
      <c r="AI165" s="36"/>
      <c r="AJ165" s="36"/>
      <c r="AK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AF166" s="36"/>
      <c r="AG166" s="36"/>
      <c r="AH166" s="36"/>
      <c r="AI166" s="36"/>
      <c r="AJ166" s="36"/>
      <c r="AK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AF167" s="36"/>
      <c r="AG167" s="36"/>
      <c r="AH167" s="36"/>
      <c r="AI167" s="36"/>
      <c r="AJ167" s="36"/>
      <c r="AK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AF168" s="36"/>
      <c r="AG168" s="36"/>
      <c r="AH168" s="36"/>
      <c r="AI168" s="36"/>
      <c r="AJ168" s="36"/>
      <c r="AK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AF169" s="36"/>
      <c r="AG169" s="36"/>
      <c r="AH169" s="36"/>
      <c r="AI169" s="36"/>
      <c r="AJ169" s="36"/>
      <c r="AK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AF170" s="36"/>
      <c r="AG170" s="36"/>
      <c r="AH170" s="36"/>
      <c r="AI170" s="36"/>
      <c r="AJ170" s="36"/>
      <c r="AK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AF171" s="36"/>
      <c r="AG171" s="36"/>
      <c r="AH171" s="36"/>
      <c r="AI171" s="36"/>
      <c r="AJ171" s="36"/>
      <c r="AK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AF172" s="36"/>
      <c r="AG172" s="36"/>
      <c r="AH172" s="36"/>
      <c r="AI172" s="36"/>
      <c r="AJ172" s="36"/>
      <c r="AK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AF173" s="36"/>
      <c r="AG173" s="36"/>
      <c r="AH173" s="36"/>
      <c r="AI173" s="36"/>
      <c r="AJ173" s="36"/>
      <c r="AK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AF174" s="36"/>
      <c r="AG174" s="36"/>
      <c r="AH174" s="36"/>
      <c r="AI174" s="36"/>
      <c r="AJ174" s="36"/>
      <c r="AK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AF175" s="36"/>
      <c r="AG175" s="36"/>
      <c r="AH175" s="36"/>
      <c r="AI175" s="36"/>
      <c r="AJ175" s="36"/>
      <c r="AK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AF176" s="36"/>
      <c r="AG176" s="36"/>
      <c r="AH176" s="36"/>
      <c r="AI176" s="36"/>
      <c r="AJ176" s="36"/>
      <c r="AK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AF177" s="36"/>
      <c r="AG177" s="36"/>
      <c r="AH177" s="36"/>
      <c r="AI177" s="36"/>
      <c r="AJ177" s="36"/>
      <c r="AK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AF178" s="36"/>
      <c r="AG178" s="36"/>
      <c r="AH178" s="36"/>
      <c r="AI178" s="36"/>
      <c r="AJ178" s="36"/>
      <c r="AK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AF179" s="36"/>
      <c r="AG179" s="36"/>
      <c r="AH179" s="36"/>
      <c r="AI179" s="36"/>
      <c r="AJ179" s="36"/>
      <c r="AK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AF180" s="36"/>
      <c r="AG180" s="36"/>
      <c r="AH180" s="36"/>
      <c r="AI180" s="36"/>
      <c r="AJ180" s="36"/>
      <c r="AK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AF181" s="36"/>
      <c r="AG181" s="36"/>
      <c r="AH181" s="36"/>
      <c r="AI181" s="36"/>
      <c r="AJ181" s="36"/>
      <c r="AK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AF182" s="36"/>
      <c r="AG182" s="36"/>
      <c r="AH182" s="36"/>
      <c r="AI182" s="36"/>
      <c r="AJ182" s="36"/>
      <c r="AK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AF183" s="36"/>
      <c r="AG183" s="36"/>
      <c r="AH183" s="36"/>
      <c r="AI183" s="36"/>
      <c r="AJ183" s="36"/>
      <c r="AK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AF184" s="36"/>
      <c r="AG184" s="36"/>
      <c r="AH184" s="36"/>
      <c r="AI184" s="36"/>
      <c r="AJ184" s="36"/>
      <c r="AK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AF185" s="36"/>
      <c r="AG185" s="36"/>
      <c r="AH185" s="36"/>
      <c r="AI185" s="36"/>
      <c r="AJ185" s="36"/>
      <c r="AK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AF186" s="36"/>
      <c r="AG186" s="36"/>
      <c r="AH186" s="36"/>
      <c r="AI186" s="36"/>
      <c r="AJ186" s="36"/>
      <c r="AK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AF187" s="36"/>
      <c r="AG187" s="36"/>
      <c r="AH187" s="36"/>
      <c r="AI187" s="36"/>
      <c r="AJ187" s="36"/>
      <c r="AK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AF188" s="36"/>
      <c r="AG188" s="36"/>
      <c r="AH188" s="36"/>
      <c r="AI188" s="36"/>
      <c r="AJ188" s="36"/>
      <c r="AK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AF189" s="36"/>
      <c r="AG189" s="36"/>
      <c r="AH189" s="36"/>
      <c r="AI189" s="36"/>
      <c r="AJ189" s="36"/>
      <c r="AK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AF190" s="36"/>
      <c r="AG190" s="36"/>
      <c r="AH190" s="36"/>
      <c r="AI190" s="36"/>
      <c r="AJ190" s="36"/>
      <c r="AK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AF191" s="36"/>
      <c r="AG191" s="36"/>
      <c r="AH191" s="36"/>
      <c r="AI191" s="36"/>
      <c r="AJ191" s="36"/>
      <c r="AK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AF192" s="36"/>
      <c r="AG192" s="36"/>
      <c r="AH192" s="36"/>
      <c r="AI192" s="36"/>
      <c r="AJ192" s="36"/>
      <c r="AK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AF193" s="36"/>
      <c r="AG193" s="36"/>
      <c r="AH193" s="36"/>
      <c r="AI193" s="36"/>
      <c r="AJ193" s="36"/>
      <c r="AK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AF194" s="36"/>
      <c r="AG194" s="36"/>
      <c r="AH194" s="36"/>
      <c r="AI194" s="36"/>
      <c r="AJ194" s="36"/>
      <c r="AK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AF195" s="36"/>
      <c r="AG195" s="36"/>
      <c r="AH195" s="36"/>
      <c r="AI195" s="36"/>
      <c r="AJ195" s="36"/>
      <c r="AK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AF196" s="36"/>
      <c r="AG196" s="36"/>
      <c r="AH196" s="36"/>
      <c r="AI196" s="36"/>
      <c r="AJ196" s="36"/>
      <c r="AK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AF197" s="36"/>
      <c r="AG197" s="36"/>
      <c r="AH197" s="36"/>
      <c r="AI197" s="36"/>
      <c r="AJ197" s="36"/>
      <c r="AK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AF198" s="36"/>
      <c r="AG198" s="36"/>
      <c r="AH198" s="36"/>
      <c r="AI198" s="36"/>
      <c r="AJ198" s="36"/>
      <c r="AK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AF199" s="36"/>
      <c r="AG199" s="36"/>
      <c r="AH199" s="36"/>
      <c r="AI199" s="36"/>
      <c r="AJ199" s="36"/>
      <c r="AK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AF200" s="36"/>
      <c r="AG200" s="36"/>
      <c r="AH200" s="36"/>
      <c r="AI200" s="36"/>
      <c r="AJ200" s="36"/>
      <c r="AK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AF201" s="36"/>
      <c r="AG201" s="36"/>
      <c r="AH201" s="36"/>
      <c r="AI201" s="36"/>
      <c r="AJ201" s="36"/>
      <c r="AK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AF202" s="36"/>
      <c r="AG202" s="36"/>
      <c r="AH202" s="36"/>
      <c r="AI202" s="36"/>
      <c r="AJ202" s="36"/>
      <c r="AK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AF203" s="36"/>
      <c r="AG203" s="36"/>
      <c r="AH203" s="36"/>
      <c r="AI203" s="36"/>
      <c r="AJ203" s="36"/>
      <c r="AK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AF204" s="36"/>
      <c r="AG204" s="36"/>
      <c r="AH204" s="36"/>
      <c r="AI204" s="36"/>
      <c r="AJ204" s="36"/>
      <c r="AK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AF205" s="36"/>
      <c r="AG205" s="36"/>
      <c r="AH205" s="36"/>
      <c r="AI205" s="36"/>
      <c r="AJ205" s="36"/>
      <c r="AK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AF206" s="36"/>
      <c r="AG206" s="36"/>
      <c r="AH206" s="36"/>
      <c r="AI206" s="36"/>
      <c r="AJ206" s="36"/>
      <c r="AK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AF207" s="36"/>
      <c r="AG207" s="36"/>
      <c r="AH207" s="36"/>
      <c r="AI207" s="36"/>
      <c r="AJ207" s="36"/>
      <c r="AK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AF208" s="36"/>
      <c r="AG208" s="36"/>
      <c r="AH208" s="36"/>
      <c r="AI208" s="36"/>
      <c r="AJ208" s="36"/>
      <c r="AK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AF209" s="36"/>
      <c r="AG209" s="36"/>
      <c r="AH209" s="36"/>
      <c r="AI209" s="36"/>
      <c r="AJ209" s="36"/>
      <c r="AK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AF210" s="36"/>
      <c r="AG210" s="36"/>
      <c r="AH210" s="36"/>
      <c r="AI210" s="36"/>
      <c r="AJ210" s="36"/>
      <c r="AK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AF211" s="36"/>
      <c r="AG211" s="36"/>
      <c r="AH211" s="36"/>
      <c r="AI211" s="36"/>
      <c r="AJ211" s="36"/>
      <c r="AK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AF212" s="36"/>
      <c r="AG212" s="36"/>
      <c r="AH212" s="36"/>
      <c r="AI212" s="36"/>
      <c r="AJ212" s="36"/>
      <c r="AK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AF213" s="36"/>
      <c r="AG213" s="36"/>
      <c r="AH213" s="36"/>
      <c r="AI213" s="36"/>
      <c r="AJ213" s="36"/>
      <c r="AK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AF214" s="36"/>
      <c r="AG214" s="36"/>
      <c r="AH214" s="36"/>
      <c r="AI214" s="36"/>
      <c r="AJ214" s="36"/>
      <c r="AK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AF215" s="36"/>
      <c r="AG215" s="36"/>
      <c r="AH215" s="36"/>
      <c r="AI215" s="36"/>
      <c r="AJ215" s="36"/>
      <c r="AK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AF216" s="36"/>
      <c r="AG216" s="36"/>
      <c r="AH216" s="36"/>
      <c r="AI216" s="36"/>
      <c r="AJ216" s="36"/>
      <c r="AK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AF217" s="36"/>
      <c r="AG217" s="36"/>
      <c r="AH217" s="36"/>
      <c r="AI217" s="36"/>
      <c r="AJ217" s="36"/>
      <c r="AK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AF218" s="36"/>
      <c r="AG218" s="36"/>
      <c r="AH218" s="36"/>
      <c r="AI218" s="36"/>
      <c r="AJ218" s="36"/>
      <c r="AK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AF219" s="36"/>
      <c r="AG219" s="36"/>
      <c r="AH219" s="36"/>
      <c r="AI219" s="36"/>
      <c r="AJ219" s="36"/>
      <c r="AK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AF220" s="36"/>
      <c r="AG220" s="36"/>
      <c r="AH220" s="36"/>
      <c r="AI220" s="36"/>
      <c r="AJ220" s="36"/>
      <c r="AK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AF221" s="36"/>
      <c r="AG221" s="36"/>
      <c r="AH221" s="36"/>
      <c r="AI221" s="36"/>
      <c r="AJ221" s="36"/>
      <c r="AK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AF222" s="36"/>
      <c r="AG222" s="36"/>
      <c r="AH222" s="36"/>
      <c r="AI222" s="36"/>
      <c r="AJ222" s="36"/>
      <c r="AK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AF223" s="36"/>
      <c r="AG223" s="36"/>
      <c r="AH223" s="36"/>
      <c r="AI223" s="36"/>
      <c r="AJ223" s="36"/>
      <c r="AK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AF224" s="36"/>
      <c r="AG224" s="36"/>
      <c r="AH224" s="36"/>
      <c r="AI224" s="36"/>
      <c r="AJ224" s="36"/>
      <c r="AK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AF225" s="36"/>
      <c r="AG225" s="36"/>
      <c r="AH225" s="36"/>
      <c r="AI225" s="36"/>
      <c r="AJ225" s="36"/>
      <c r="AK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AF226" s="36"/>
      <c r="AG226" s="36"/>
      <c r="AH226" s="36"/>
      <c r="AI226" s="36"/>
      <c r="AJ226" s="36"/>
      <c r="AK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AF227" s="36"/>
      <c r="AG227" s="36"/>
      <c r="AH227" s="36"/>
      <c r="AI227" s="36"/>
      <c r="AJ227" s="36"/>
      <c r="AK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AF228" s="36"/>
      <c r="AG228" s="36"/>
      <c r="AH228" s="36"/>
      <c r="AI228" s="36"/>
      <c r="AJ228" s="36"/>
      <c r="AK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AF229" s="36"/>
      <c r="AG229" s="36"/>
      <c r="AH229" s="36"/>
      <c r="AI229" s="36"/>
      <c r="AJ229" s="36"/>
      <c r="AK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AF230" s="36"/>
      <c r="AG230" s="36"/>
      <c r="AH230" s="36"/>
      <c r="AI230" s="36"/>
      <c r="AJ230" s="36"/>
      <c r="AK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AF231" s="36"/>
      <c r="AG231" s="36"/>
      <c r="AH231" s="36"/>
      <c r="AI231" s="36"/>
      <c r="AJ231" s="36"/>
      <c r="AK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AF232" s="36"/>
      <c r="AG232" s="36"/>
      <c r="AH232" s="36"/>
      <c r="AI232" s="36"/>
      <c r="AJ232" s="36"/>
      <c r="AK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AF233" s="36"/>
      <c r="AG233" s="36"/>
      <c r="AH233" s="36"/>
      <c r="AI233" s="36"/>
      <c r="AJ233" s="36"/>
      <c r="AK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AF234" s="36"/>
      <c r="AG234" s="36"/>
      <c r="AH234" s="36"/>
      <c r="AI234" s="36"/>
      <c r="AJ234" s="36"/>
      <c r="AK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AF235" s="36"/>
      <c r="AG235" s="36"/>
      <c r="AH235" s="36"/>
      <c r="AI235" s="36"/>
      <c r="AJ235" s="36"/>
      <c r="AK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AF236" s="36"/>
      <c r="AG236" s="36"/>
      <c r="AH236" s="36"/>
      <c r="AI236" s="36"/>
      <c r="AJ236" s="36"/>
      <c r="AK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AF237" s="36"/>
      <c r="AG237" s="36"/>
      <c r="AH237" s="36"/>
      <c r="AI237" s="36"/>
      <c r="AJ237" s="36"/>
      <c r="AK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AF238" s="36"/>
      <c r="AG238" s="36"/>
      <c r="AH238" s="36"/>
      <c r="AI238" s="36"/>
      <c r="AJ238" s="36"/>
      <c r="AK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AF239" s="36"/>
      <c r="AG239" s="36"/>
      <c r="AH239" s="36"/>
      <c r="AI239" s="36"/>
      <c r="AJ239" s="36"/>
      <c r="AK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AF240" s="36"/>
      <c r="AG240" s="36"/>
      <c r="AH240" s="36"/>
      <c r="AI240" s="36"/>
      <c r="AJ240" s="36"/>
      <c r="AK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AF241" s="36"/>
      <c r="AG241" s="36"/>
      <c r="AH241" s="36"/>
      <c r="AI241" s="36"/>
      <c r="AJ241" s="36"/>
      <c r="AK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AF242" s="36"/>
      <c r="AG242" s="36"/>
      <c r="AH242" s="36"/>
      <c r="AI242" s="36"/>
      <c r="AJ242" s="36"/>
      <c r="AK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AF243" s="36"/>
      <c r="AG243" s="36"/>
      <c r="AH243" s="36"/>
      <c r="AI243" s="36"/>
      <c r="AJ243" s="36"/>
      <c r="AK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AF244" s="36"/>
      <c r="AG244" s="36"/>
      <c r="AH244" s="36"/>
      <c r="AI244" s="36"/>
      <c r="AJ244" s="36"/>
      <c r="AK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AF245" s="36"/>
      <c r="AG245" s="36"/>
      <c r="AH245" s="36"/>
      <c r="AI245" s="36"/>
      <c r="AJ245" s="36"/>
      <c r="AK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AF246" s="36"/>
      <c r="AG246" s="36"/>
      <c r="AH246" s="36"/>
      <c r="AI246" s="36"/>
      <c r="AJ246" s="36"/>
      <c r="AK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AF247" s="36"/>
      <c r="AG247" s="36"/>
      <c r="AH247" s="36"/>
      <c r="AI247" s="36"/>
      <c r="AJ247" s="36"/>
      <c r="AK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AF248" s="36"/>
      <c r="AG248" s="36"/>
      <c r="AH248" s="36"/>
      <c r="AI248" s="36"/>
      <c r="AJ248" s="36"/>
      <c r="AK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AF249" s="36"/>
      <c r="AG249" s="36"/>
      <c r="AH249" s="36"/>
      <c r="AI249" s="36"/>
      <c r="AJ249" s="36"/>
      <c r="AK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AF250" s="36"/>
      <c r="AG250" s="36"/>
      <c r="AH250" s="36"/>
      <c r="AI250" s="36"/>
      <c r="AJ250" s="36"/>
      <c r="AK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AF251" s="36"/>
      <c r="AG251" s="36"/>
      <c r="AH251" s="36"/>
      <c r="AI251" s="36"/>
      <c r="AJ251" s="36"/>
      <c r="AK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AF252" s="36"/>
      <c r="AG252" s="36"/>
      <c r="AH252" s="36"/>
      <c r="AI252" s="36"/>
      <c r="AJ252" s="36"/>
      <c r="AK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AF253" s="36"/>
      <c r="AG253" s="36"/>
      <c r="AH253" s="36"/>
      <c r="AI253" s="36"/>
      <c r="AJ253" s="36"/>
      <c r="AK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AF254" s="36"/>
      <c r="AG254" s="36"/>
      <c r="AH254" s="36"/>
      <c r="AI254" s="36"/>
      <c r="AJ254" s="36"/>
      <c r="AK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AF255" s="36"/>
      <c r="AG255" s="36"/>
      <c r="AH255" s="36"/>
      <c r="AI255" s="36"/>
      <c r="AJ255" s="36"/>
      <c r="AK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AF256" s="36"/>
      <c r="AG256" s="36"/>
      <c r="AH256" s="36"/>
      <c r="AI256" s="36"/>
      <c r="AJ256" s="36"/>
      <c r="AK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AF257" s="36"/>
      <c r="AG257" s="36"/>
      <c r="AH257" s="36"/>
      <c r="AI257" s="36"/>
      <c r="AJ257" s="36"/>
      <c r="AK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AF258" s="36"/>
      <c r="AG258" s="36"/>
      <c r="AH258" s="36"/>
      <c r="AI258" s="36"/>
      <c r="AJ258" s="36"/>
      <c r="AK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AF259" s="36"/>
      <c r="AG259" s="36"/>
      <c r="AH259" s="36"/>
      <c r="AI259" s="36"/>
      <c r="AJ259" s="36"/>
      <c r="AK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AF260" s="36"/>
      <c r="AG260" s="36"/>
      <c r="AH260" s="36"/>
      <c r="AI260" s="36"/>
      <c r="AJ260" s="36"/>
      <c r="AK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AF261" s="36"/>
      <c r="AG261" s="36"/>
      <c r="AH261" s="36"/>
      <c r="AI261" s="36"/>
      <c r="AJ261" s="36"/>
      <c r="AK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AF262" s="36"/>
      <c r="AG262" s="36"/>
      <c r="AH262" s="36"/>
      <c r="AI262" s="36"/>
      <c r="AJ262" s="36"/>
      <c r="AK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AF263" s="36"/>
      <c r="AG263" s="36"/>
      <c r="AH263" s="36"/>
      <c r="AI263" s="36"/>
      <c r="AJ263" s="36"/>
      <c r="AK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AF264" s="36"/>
      <c r="AG264" s="36"/>
      <c r="AH264" s="36"/>
      <c r="AI264" s="36"/>
      <c r="AJ264" s="36"/>
      <c r="AK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AF265" s="36"/>
      <c r="AG265" s="36"/>
      <c r="AH265" s="36"/>
      <c r="AI265" s="36"/>
      <c r="AJ265" s="36"/>
      <c r="AK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AF266" s="36"/>
      <c r="AG266" s="36"/>
      <c r="AH266" s="36"/>
      <c r="AI266" s="36"/>
      <c r="AJ266" s="36"/>
      <c r="AK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AF267" s="36"/>
      <c r="AG267" s="36"/>
      <c r="AH267" s="36"/>
      <c r="AI267" s="36"/>
      <c r="AJ267" s="36"/>
      <c r="AK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AF268" s="36"/>
      <c r="AG268" s="36"/>
      <c r="AH268" s="36"/>
      <c r="AI268" s="36"/>
      <c r="AJ268" s="36"/>
      <c r="AK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AF269" s="36"/>
      <c r="AG269" s="36"/>
      <c r="AH269" s="36"/>
      <c r="AI269" s="36"/>
      <c r="AJ269" s="36"/>
      <c r="AK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AF270" s="36"/>
      <c r="AG270" s="36"/>
      <c r="AH270" s="36"/>
      <c r="AI270" s="36"/>
      <c r="AJ270" s="36"/>
      <c r="AK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AF271" s="36"/>
      <c r="AG271" s="36"/>
      <c r="AH271" s="36"/>
      <c r="AI271" s="36"/>
      <c r="AJ271" s="36"/>
      <c r="AK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AF272" s="36"/>
      <c r="AG272" s="36"/>
      <c r="AH272" s="36"/>
      <c r="AI272" s="36"/>
      <c r="AJ272" s="36"/>
      <c r="AK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AF273" s="36"/>
      <c r="AG273" s="36"/>
      <c r="AH273" s="36"/>
      <c r="AI273" s="36"/>
      <c r="AJ273" s="36"/>
      <c r="AK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AF274" s="36"/>
      <c r="AG274" s="36"/>
      <c r="AH274" s="36"/>
      <c r="AI274" s="36"/>
      <c r="AJ274" s="36"/>
      <c r="AK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AF275" s="36"/>
      <c r="AG275" s="36"/>
      <c r="AH275" s="36"/>
      <c r="AI275" s="36"/>
      <c r="AJ275" s="36"/>
      <c r="AK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AF276" s="36"/>
      <c r="AG276" s="36"/>
      <c r="AH276" s="36"/>
      <c r="AI276" s="36"/>
      <c r="AJ276" s="36"/>
      <c r="AK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AF277" s="36"/>
      <c r="AG277" s="36"/>
      <c r="AH277" s="36"/>
      <c r="AI277" s="36"/>
      <c r="AJ277" s="36"/>
      <c r="AK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AF278" s="36"/>
      <c r="AG278" s="36"/>
      <c r="AH278" s="36"/>
      <c r="AI278" s="36"/>
      <c r="AJ278" s="36"/>
      <c r="AK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AF279" s="36"/>
      <c r="AG279" s="36"/>
      <c r="AH279" s="36"/>
      <c r="AI279" s="36"/>
      <c r="AJ279" s="36"/>
      <c r="AK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AF280" s="36"/>
      <c r="AG280" s="36"/>
      <c r="AH280" s="36"/>
      <c r="AI280" s="36"/>
      <c r="AJ280" s="36"/>
      <c r="AK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AF281" s="36"/>
      <c r="AG281" s="36"/>
      <c r="AH281" s="36"/>
      <c r="AI281" s="36"/>
      <c r="AJ281" s="36"/>
      <c r="AK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AF282" s="36"/>
      <c r="AG282" s="36"/>
      <c r="AH282" s="36"/>
      <c r="AI282" s="36"/>
      <c r="AJ282" s="36"/>
      <c r="AK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AF283" s="36"/>
      <c r="AG283" s="36"/>
      <c r="AH283" s="36"/>
      <c r="AI283" s="36"/>
      <c r="AJ283" s="36"/>
      <c r="AK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AF284" s="36"/>
      <c r="AG284" s="36"/>
      <c r="AH284" s="36"/>
      <c r="AI284" s="36"/>
      <c r="AJ284" s="36"/>
      <c r="AK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AF285" s="36"/>
      <c r="AG285" s="36"/>
      <c r="AH285" s="36"/>
      <c r="AI285" s="36"/>
      <c r="AJ285" s="36"/>
      <c r="AK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AF286" s="36"/>
      <c r="AG286" s="36"/>
      <c r="AH286" s="36"/>
      <c r="AI286" s="36"/>
      <c r="AJ286" s="36"/>
      <c r="AK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AF287" s="36"/>
      <c r="AG287" s="36"/>
      <c r="AH287" s="36"/>
      <c r="AI287" s="36"/>
      <c r="AJ287" s="36"/>
      <c r="AK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AF288" s="36"/>
      <c r="AG288" s="36"/>
      <c r="AH288" s="36"/>
      <c r="AI288" s="36"/>
      <c r="AJ288" s="36"/>
      <c r="AK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AF289" s="36"/>
      <c r="AG289" s="36"/>
      <c r="AH289" s="36"/>
      <c r="AI289" s="36"/>
      <c r="AJ289" s="36"/>
      <c r="AK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AF290" s="36"/>
      <c r="AG290" s="36"/>
      <c r="AH290" s="36"/>
      <c r="AI290" s="36"/>
      <c r="AJ290" s="36"/>
      <c r="AK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AF291" s="36"/>
      <c r="AG291" s="36"/>
      <c r="AH291" s="36"/>
      <c r="AI291" s="36"/>
      <c r="AJ291" s="36"/>
      <c r="AK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AF292" s="36"/>
      <c r="AG292" s="36"/>
      <c r="AH292" s="36"/>
      <c r="AI292" s="36"/>
      <c r="AJ292" s="36"/>
      <c r="AK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AF293" s="36"/>
      <c r="AG293" s="36"/>
      <c r="AH293" s="36"/>
      <c r="AI293" s="36"/>
      <c r="AJ293" s="36"/>
      <c r="AK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AF294" s="36"/>
      <c r="AG294" s="36"/>
      <c r="AH294" s="36"/>
      <c r="AI294" s="36"/>
      <c r="AJ294" s="36"/>
      <c r="AK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AF295" s="36"/>
      <c r="AG295" s="36"/>
      <c r="AH295" s="36"/>
      <c r="AI295" s="36"/>
      <c r="AJ295" s="36"/>
      <c r="AK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AF296" s="36"/>
      <c r="AG296" s="36"/>
      <c r="AH296" s="36"/>
      <c r="AI296" s="36"/>
      <c r="AJ296" s="36"/>
      <c r="AK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AF297" s="36"/>
      <c r="AG297" s="36"/>
      <c r="AH297" s="36"/>
      <c r="AI297" s="36"/>
      <c r="AJ297" s="36"/>
      <c r="AK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AF298" s="36"/>
      <c r="AG298" s="36"/>
      <c r="AH298" s="36"/>
      <c r="AI298" s="36"/>
      <c r="AJ298" s="36"/>
      <c r="AK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AF299" s="36"/>
      <c r="AG299" s="36"/>
      <c r="AH299" s="36"/>
      <c r="AI299" s="36"/>
      <c r="AJ299" s="36"/>
      <c r="AK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AF300" s="36"/>
      <c r="AG300" s="36"/>
      <c r="AH300" s="36"/>
      <c r="AI300" s="36"/>
      <c r="AJ300" s="36"/>
      <c r="AK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AF301" s="36"/>
      <c r="AG301" s="36"/>
      <c r="AH301" s="36"/>
      <c r="AI301" s="36"/>
      <c r="AJ301" s="36"/>
      <c r="AK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AF302" s="36"/>
      <c r="AG302" s="36"/>
      <c r="AH302" s="36"/>
      <c r="AI302" s="36"/>
      <c r="AJ302" s="36"/>
      <c r="AK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AF303" s="36"/>
      <c r="AG303" s="36"/>
      <c r="AH303" s="36"/>
      <c r="AI303" s="36"/>
      <c r="AJ303" s="36"/>
      <c r="AK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AF304" s="36"/>
      <c r="AG304" s="36"/>
      <c r="AH304" s="36"/>
      <c r="AI304" s="36"/>
      <c r="AJ304" s="36"/>
      <c r="AK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AF305" s="36"/>
      <c r="AG305" s="36"/>
      <c r="AH305" s="36"/>
      <c r="AI305" s="36"/>
      <c r="AJ305" s="36"/>
      <c r="AK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AF306" s="36"/>
      <c r="AG306" s="36"/>
      <c r="AH306" s="36"/>
      <c r="AI306" s="36"/>
      <c r="AJ306" s="36"/>
      <c r="AK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AF307" s="36"/>
      <c r="AG307" s="36"/>
      <c r="AH307" s="36"/>
      <c r="AI307" s="36"/>
      <c r="AJ307" s="36"/>
      <c r="AK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AF308" s="36"/>
      <c r="AG308" s="36"/>
      <c r="AH308" s="36"/>
      <c r="AI308" s="36"/>
      <c r="AJ308" s="36"/>
      <c r="AK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AF309" s="36"/>
      <c r="AG309" s="36"/>
      <c r="AH309" s="36"/>
      <c r="AI309" s="36"/>
      <c r="AJ309" s="36"/>
      <c r="AK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AF310" s="36"/>
      <c r="AG310" s="36"/>
      <c r="AH310" s="36"/>
      <c r="AI310" s="36"/>
      <c r="AJ310" s="36"/>
      <c r="AK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AF311" s="36"/>
      <c r="AG311" s="36"/>
      <c r="AH311" s="36"/>
      <c r="AI311" s="36"/>
      <c r="AJ311" s="36"/>
      <c r="AK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AF312" s="36"/>
      <c r="AG312" s="36"/>
      <c r="AH312" s="36"/>
      <c r="AI312" s="36"/>
      <c r="AJ312" s="36"/>
      <c r="AK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AF313" s="36"/>
      <c r="AG313" s="36"/>
      <c r="AH313" s="36"/>
      <c r="AI313" s="36"/>
      <c r="AJ313" s="36"/>
      <c r="AK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AF314" s="36"/>
      <c r="AG314" s="36"/>
      <c r="AH314" s="36"/>
      <c r="AI314" s="36"/>
      <c r="AJ314" s="36"/>
      <c r="AK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AF315" s="36"/>
      <c r="AG315" s="36"/>
      <c r="AH315" s="36"/>
      <c r="AI315" s="36"/>
      <c r="AJ315" s="36"/>
      <c r="AK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AF316" s="36"/>
      <c r="AG316" s="36"/>
      <c r="AH316" s="36"/>
      <c r="AI316" s="36"/>
      <c r="AJ316" s="36"/>
      <c r="AK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AF317" s="36"/>
      <c r="AG317" s="36"/>
      <c r="AH317" s="36"/>
      <c r="AI317" s="36"/>
      <c r="AJ317" s="36"/>
      <c r="AK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AF318" s="36"/>
      <c r="AG318" s="36"/>
      <c r="AH318" s="36"/>
      <c r="AI318" s="36"/>
      <c r="AJ318" s="36"/>
      <c r="AK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AF319" s="36"/>
      <c r="AG319" s="36"/>
      <c r="AH319" s="36"/>
      <c r="AI319" s="36"/>
      <c r="AJ319" s="36"/>
      <c r="AK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AF320" s="36"/>
      <c r="AG320" s="36"/>
      <c r="AH320" s="36"/>
      <c r="AI320" s="36"/>
      <c r="AJ320" s="36"/>
      <c r="AK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AF321" s="36"/>
      <c r="AG321" s="36"/>
      <c r="AH321" s="36"/>
      <c r="AI321" s="36"/>
      <c r="AJ321" s="36"/>
      <c r="AK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AF322" s="36"/>
      <c r="AG322" s="36"/>
      <c r="AH322" s="36"/>
      <c r="AI322" s="36"/>
      <c r="AJ322" s="36"/>
      <c r="AK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AF323" s="36"/>
      <c r="AG323" s="36"/>
      <c r="AH323" s="36"/>
      <c r="AI323" s="36"/>
      <c r="AJ323" s="36"/>
      <c r="AK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AF324" s="36"/>
      <c r="AG324" s="36"/>
      <c r="AH324" s="36"/>
      <c r="AI324" s="36"/>
      <c r="AJ324" s="36"/>
      <c r="AK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AF325" s="36"/>
      <c r="AG325" s="36"/>
      <c r="AH325" s="36"/>
      <c r="AI325" s="36"/>
      <c r="AJ325" s="36"/>
      <c r="AK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AF326" s="36"/>
      <c r="AG326" s="36"/>
      <c r="AH326" s="36"/>
      <c r="AI326" s="36"/>
      <c r="AJ326" s="36"/>
      <c r="AK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AF327" s="36"/>
      <c r="AG327" s="36"/>
      <c r="AH327" s="36"/>
      <c r="AI327" s="36"/>
      <c r="AJ327" s="36"/>
      <c r="AK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AF328" s="36"/>
      <c r="AG328" s="36"/>
      <c r="AH328" s="36"/>
      <c r="AI328" s="36"/>
      <c r="AJ328" s="36"/>
      <c r="AK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AF329" s="36"/>
      <c r="AG329" s="36"/>
      <c r="AH329" s="36"/>
      <c r="AI329" s="36"/>
      <c r="AJ329" s="36"/>
      <c r="AK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AF330" s="36"/>
      <c r="AG330" s="36"/>
      <c r="AH330" s="36"/>
      <c r="AI330" s="36"/>
      <c r="AJ330" s="36"/>
      <c r="AK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AF331" s="36"/>
      <c r="AG331" s="36"/>
      <c r="AH331" s="36"/>
      <c r="AI331" s="36"/>
      <c r="AJ331" s="36"/>
      <c r="AK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AF332" s="36"/>
      <c r="AG332" s="36"/>
      <c r="AH332" s="36"/>
      <c r="AI332" s="36"/>
      <c r="AJ332" s="36"/>
      <c r="AK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AF333" s="36"/>
      <c r="AG333" s="36"/>
      <c r="AH333" s="36"/>
      <c r="AI333" s="36"/>
      <c r="AJ333" s="36"/>
      <c r="AK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AF334" s="36"/>
      <c r="AG334" s="36"/>
      <c r="AH334" s="36"/>
      <c r="AI334" s="36"/>
      <c r="AJ334" s="36"/>
      <c r="AK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AF335" s="36"/>
      <c r="AG335" s="36"/>
      <c r="AH335" s="36"/>
      <c r="AI335" s="36"/>
      <c r="AJ335" s="36"/>
      <c r="AK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AF336" s="36"/>
      <c r="AG336" s="36"/>
      <c r="AH336" s="36"/>
      <c r="AI336" s="36"/>
      <c r="AJ336" s="36"/>
      <c r="AK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AF337" s="36"/>
      <c r="AG337" s="36"/>
      <c r="AH337" s="36"/>
      <c r="AI337" s="36"/>
      <c r="AJ337" s="36"/>
      <c r="AK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AF338" s="36"/>
      <c r="AG338" s="36"/>
      <c r="AH338" s="36"/>
      <c r="AI338" s="36"/>
      <c r="AJ338" s="36"/>
      <c r="AK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AF339" s="36"/>
      <c r="AG339" s="36"/>
      <c r="AH339" s="36"/>
      <c r="AI339" s="36"/>
      <c r="AJ339" s="36"/>
      <c r="AK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AF340" s="36"/>
      <c r="AG340" s="36"/>
      <c r="AH340" s="36"/>
      <c r="AI340" s="36"/>
      <c r="AJ340" s="36"/>
      <c r="AK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AF341" s="36"/>
      <c r="AG341" s="36"/>
      <c r="AH341" s="36"/>
      <c r="AI341" s="36"/>
      <c r="AJ341" s="36"/>
      <c r="AK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AF342" s="36"/>
      <c r="AG342" s="36"/>
      <c r="AH342" s="36"/>
      <c r="AI342" s="36"/>
      <c r="AJ342" s="36"/>
      <c r="AK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AF343" s="36"/>
      <c r="AG343" s="36"/>
      <c r="AH343" s="36"/>
      <c r="AI343" s="36"/>
      <c r="AJ343" s="36"/>
      <c r="AK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AF344" s="36"/>
      <c r="AG344" s="36"/>
      <c r="AH344" s="36"/>
      <c r="AI344" s="36"/>
      <c r="AJ344" s="36"/>
      <c r="AK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AF345" s="36"/>
      <c r="AG345" s="36"/>
      <c r="AH345" s="36"/>
      <c r="AI345" s="36"/>
      <c r="AJ345" s="36"/>
      <c r="AK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AF346" s="36"/>
      <c r="AG346" s="36"/>
      <c r="AH346" s="36"/>
      <c r="AI346" s="36"/>
      <c r="AJ346" s="36"/>
      <c r="AK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AF347" s="36"/>
      <c r="AG347" s="36"/>
      <c r="AH347" s="36"/>
      <c r="AI347" s="36"/>
      <c r="AJ347" s="36"/>
      <c r="AK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AF348" s="36"/>
      <c r="AG348" s="36"/>
      <c r="AH348" s="36"/>
      <c r="AI348" s="36"/>
      <c r="AJ348" s="36"/>
      <c r="AK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AF349" s="36"/>
      <c r="AG349" s="36"/>
      <c r="AH349" s="36"/>
      <c r="AI349" s="36"/>
      <c r="AJ349" s="36"/>
      <c r="AK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AF350" s="36"/>
      <c r="AG350" s="36"/>
      <c r="AH350" s="36"/>
      <c r="AI350" s="36"/>
      <c r="AJ350" s="36"/>
      <c r="AK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AF351" s="36"/>
      <c r="AG351" s="36"/>
      <c r="AH351" s="36"/>
      <c r="AI351" s="36"/>
      <c r="AJ351" s="36"/>
      <c r="AK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AF352" s="36"/>
      <c r="AG352" s="36"/>
      <c r="AH352" s="36"/>
      <c r="AI352" s="36"/>
      <c r="AJ352" s="36"/>
      <c r="AK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AF353" s="36"/>
      <c r="AG353" s="36"/>
      <c r="AH353" s="36"/>
      <c r="AI353" s="36"/>
      <c r="AJ353" s="36"/>
      <c r="AK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AF354" s="36"/>
      <c r="AG354" s="36"/>
      <c r="AH354" s="36"/>
      <c r="AI354" s="36"/>
      <c r="AJ354" s="36"/>
      <c r="AK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AF355" s="36"/>
      <c r="AG355" s="36"/>
      <c r="AH355" s="36"/>
      <c r="AI355" s="36"/>
      <c r="AJ355" s="36"/>
      <c r="AK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AF356" s="36"/>
      <c r="AG356" s="36"/>
      <c r="AH356" s="36"/>
      <c r="AI356" s="36"/>
      <c r="AJ356" s="36"/>
      <c r="AK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AF357" s="36"/>
      <c r="AG357" s="36"/>
      <c r="AH357" s="36"/>
      <c r="AI357" s="36"/>
      <c r="AJ357" s="36"/>
      <c r="AK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AF358" s="36"/>
      <c r="AG358" s="36"/>
      <c r="AH358" s="36"/>
      <c r="AI358" s="36"/>
      <c r="AJ358" s="36"/>
      <c r="AK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AF359" s="36"/>
      <c r="AG359" s="36"/>
      <c r="AH359" s="36"/>
      <c r="AI359" s="36"/>
      <c r="AJ359" s="36"/>
      <c r="AK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AF360" s="36"/>
      <c r="AG360" s="36"/>
      <c r="AH360" s="36"/>
      <c r="AI360" s="36"/>
      <c r="AJ360" s="36"/>
      <c r="AK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AF361" s="36"/>
      <c r="AG361" s="36"/>
      <c r="AH361" s="36"/>
      <c r="AI361" s="36"/>
      <c r="AJ361" s="36"/>
      <c r="AK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AF362" s="36"/>
      <c r="AG362" s="36"/>
      <c r="AH362" s="36"/>
      <c r="AI362" s="36"/>
      <c r="AJ362" s="36"/>
      <c r="AK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AF363" s="36"/>
      <c r="AG363" s="36"/>
      <c r="AH363" s="36"/>
      <c r="AI363" s="36"/>
      <c r="AJ363" s="36"/>
      <c r="AK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AF364" s="36"/>
      <c r="AG364" s="36"/>
      <c r="AH364" s="36"/>
      <c r="AI364" s="36"/>
      <c r="AJ364" s="36"/>
      <c r="AK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AF365" s="36"/>
      <c r="AG365" s="36"/>
      <c r="AH365" s="36"/>
      <c r="AI365" s="36"/>
      <c r="AJ365" s="36"/>
      <c r="AK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AF366" s="36"/>
      <c r="AG366" s="36"/>
      <c r="AH366" s="36"/>
      <c r="AI366" s="36"/>
      <c r="AJ366" s="36"/>
      <c r="AK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AF367" s="36"/>
      <c r="AG367" s="36"/>
      <c r="AH367" s="36"/>
      <c r="AI367" s="36"/>
      <c r="AJ367" s="36"/>
      <c r="AK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AF368" s="36"/>
      <c r="AG368" s="36"/>
      <c r="AH368" s="36"/>
      <c r="AI368" s="36"/>
      <c r="AJ368" s="36"/>
      <c r="AK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AF369" s="36"/>
      <c r="AG369" s="36"/>
      <c r="AH369" s="36"/>
      <c r="AI369" s="36"/>
      <c r="AJ369" s="36"/>
      <c r="AK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AF370" s="36"/>
      <c r="AG370" s="36"/>
      <c r="AH370" s="36"/>
      <c r="AI370" s="36"/>
      <c r="AJ370" s="36"/>
      <c r="AK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AF371" s="36"/>
      <c r="AG371" s="36"/>
      <c r="AH371" s="36"/>
      <c r="AI371" s="36"/>
      <c r="AJ371" s="36"/>
      <c r="AK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AF372" s="36"/>
      <c r="AG372" s="36"/>
      <c r="AH372" s="36"/>
      <c r="AI372" s="36"/>
      <c r="AJ372" s="36"/>
      <c r="AK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AF373" s="36"/>
      <c r="AG373" s="36"/>
      <c r="AH373" s="36"/>
      <c r="AI373" s="36"/>
      <c r="AJ373" s="36"/>
      <c r="AK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AF374" s="36"/>
      <c r="AG374" s="36"/>
      <c r="AH374" s="36"/>
      <c r="AI374" s="36"/>
      <c r="AJ374" s="36"/>
      <c r="AK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AF375" s="36"/>
      <c r="AG375" s="36"/>
      <c r="AH375" s="36"/>
      <c r="AI375" s="36"/>
      <c r="AJ375" s="36"/>
      <c r="AK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AF376" s="36"/>
      <c r="AG376" s="36"/>
      <c r="AH376" s="36"/>
      <c r="AI376" s="36"/>
      <c r="AJ376" s="36"/>
      <c r="AK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AF377" s="36"/>
      <c r="AG377" s="36"/>
      <c r="AH377" s="36"/>
      <c r="AI377" s="36"/>
      <c r="AJ377" s="36"/>
      <c r="AK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AF378" s="36"/>
      <c r="AG378" s="36"/>
      <c r="AH378" s="36"/>
      <c r="AI378" s="36"/>
      <c r="AJ378" s="36"/>
      <c r="AK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AF379" s="36"/>
      <c r="AG379" s="36"/>
      <c r="AH379" s="36"/>
      <c r="AI379" s="36"/>
      <c r="AJ379" s="36"/>
      <c r="AK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AF380" s="36"/>
      <c r="AG380" s="36"/>
      <c r="AH380" s="36"/>
      <c r="AI380" s="36"/>
      <c r="AJ380" s="36"/>
      <c r="AK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AF381" s="36"/>
      <c r="AG381" s="36"/>
      <c r="AH381" s="36"/>
      <c r="AI381" s="36"/>
      <c r="AJ381" s="36"/>
      <c r="AK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AF382" s="36"/>
      <c r="AG382" s="36"/>
      <c r="AH382" s="36"/>
      <c r="AI382" s="36"/>
      <c r="AJ382" s="36"/>
      <c r="AK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AF383" s="36"/>
      <c r="AG383" s="36"/>
      <c r="AH383" s="36"/>
      <c r="AI383" s="36"/>
      <c r="AJ383" s="36"/>
      <c r="AK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AF384" s="36"/>
      <c r="AG384" s="36"/>
      <c r="AH384" s="36"/>
      <c r="AI384" s="36"/>
      <c r="AJ384" s="36"/>
      <c r="AK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AF385" s="36"/>
      <c r="AG385" s="36"/>
      <c r="AH385" s="36"/>
      <c r="AI385" s="36"/>
      <c r="AJ385" s="36"/>
      <c r="AK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AF386" s="36"/>
      <c r="AG386" s="36"/>
      <c r="AH386" s="36"/>
      <c r="AI386" s="36"/>
      <c r="AJ386" s="36"/>
      <c r="AK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AF387" s="36"/>
      <c r="AG387" s="36"/>
      <c r="AH387" s="36"/>
      <c r="AI387" s="36"/>
      <c r="AJ387" s="36"/>
      <c r="AK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AF388" s="36"/>
      <c r="AG388" s="36"/>
      <c r="AH388" s="36"/>
      <c r="AI388" s="36"/>
      <c r="AJ388" s="36"/>
      <c r="AK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AF389" s="36"/>
      <c r="AG389" s="36"/>
      <c r="AH389" s="36"/>
      <c r="AI389" s="36"/>
      <c r="AJ389" s="36"/>
      <c r="AK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AF390" s="36"/>
      <c r="AG390" s="36"/>
      <c r="AH390" s="36"/>
      <c r="AI390" s="36"/>
      <c r="AJ390" s="36"/>
      <c r="AK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AF391" s="36"/>
      <c r="AG391" s="36"/>
      <c r="AH391" s="36"/>
      <c r="AI391" s="36"/>
      <c r="AJ391" s="36"/>
      <c r="AK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AF392" s="36"/>
      <c r="AG392" s="36"/>
      <c r="AH392" s="36"/>
      <c r="AI392" s="36"/>
      <c r="AJ392" s="36"/>
      <c r="AK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AF393" s="36"/>
      <c r="AG393" s="36"/>
      <c r="AH393" s="36"/>
      <c r="AI393" s="36"/>
      <c r="AJ393" s="36"/>
      <c r="AK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AF394" s="36"/>
      <c r="AG394" s="36"/>
      <c r="AH394" s="36"/>
      <c r="AI394" s="36"/>
      <c r="AJ394" s="36"/>
      <c r="AK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AF395" s="36"/>
      <c r="AG395" s="36"/>
      <c r="AH395" s="36"/>
      <c r="AI395" s="36"/>
      <c r="AJ395" s="36"/>
      <c r="AK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AF396" s="36"/>
      <c r="AG396" s="36"/>
      <c r="AH396" s="36"/>
      <c r="AI396" s="36"/>
      <c r="AJ396" s="36"/>
      <c r="AK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AF397" s="36"/>
      <c r="AG397" s="36"/>
      <c r="AH397" s="36"/>
      <c r="AI397" s="36"/>
      <c r="AJ397" s="36"/>
      <c r="AK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AF398" s="36"/>
      <c r="AG398" s="36"/>
      <c r="AH398" s="36"/>
      <c r="AI398" s="36"/>
      <c r="AJ398" s="36"/>
      <c r="AK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AF399" s="36"/>
      <c r="AG399" s="36"/>
      <c r="AH399" s="36"/>
      <c r="AI399" s="36"/>
      <c r="AJ399" s="36"/>
      <c r="AK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AF400" s="36"/>
      <c r="AG400" s="36"/>
      <c r="AH400" s="36"/>
      <c r="AI400" s="36"/>
      <c r="AJ400" s="36"/>
      <c r="AK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AF401" s="36"/>
      <c r="AG401" s="36"/>
      <c r="AH401" s="36"/>
      <c r="AI401" s="36"/>
      <c r="AJ401" s="36"/>
      <c r="AK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AF402" s="36"/>
      <c r="AG402" s="36"/>
      <c r="AH402" s="36"/>
      <c r="AI402" s="36"/>
      <c r="AJ402" s="36"/>
      <c r="AK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AF403" s="36"/>
      <c r="AG403" s="36"/>
      <c r="AH403" s="36"/>
      <c r="AI403" s="36"/>
      <c r="AJ403" s="36"/>
      <c r="AK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AF404" s="36"/>
      <c r="AG404" s="36"/>
      <c r="AH404" s="36"/>
      <c r="AI404" s="36"/>
      <c r="AJ404" s="36"/>
      <c r="AK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AF405" s="36"/>
      <c r="AG405" s="36"/>
      <c r="AH405" s="36"/>
      <c r="AI405" s="36"/>
      <c r="AJ405" s="36"/>
      <c r="AK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AF406" s="36"/>
      <c r="AG406" s="36"/>
      <c r="AH406" s="36"/>
      <c r="AI406" s="36"/>
      <c r="AJ406" s="36"/>
      <c r="AK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AF407" s="36"/>
      <c r="AG407" s="36"/>
      <c r="AH407" s="36"/>
      <c r="AI407" s="36"/>
      <c r="AJ407" s="36"/>
      <c r="AK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AF408" s="36"/>
      <c r="AG408" s="36"/>
      <c r="AH408" s="36"/>
      <c r="AI408" s="36"/>
      <c r="AJ408" s="36"/>
      <c r="AK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AF409" s="36"/>
      <c r="AG409" s="36"/>
      <c r="AH409" s="36"/>
      <c r="AI409" s="36"/>
      <c r="AJ409" s="36"/>
      <c r="AK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AF410" s="36"/>
      <c r="AG410" s="36"/>
      <c r="AH410" s="36"/>
      <c r="AI410" s="36"/>
      <c r="AJ410" s="36"/>
      <c r="AK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AF411" s="36"/>
      <c r="AG411" s="36"/>
      <c r="AH411" s="36"/>
      <c r="AI411" s="36"/>
      <c r="AJ411" s="36"/>
      <c r="AK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AF412" s="36"/>
      <c r="AG412" s="36"/>
      <c r="AH412" s="36"/>
      <c r="AI412" s="36"/>
      <c r="AJ412" s="36"/>
      <c r="AK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AF413" s="36"/>
      <c r="AG413" s="36"/>
      <c r="AH413" s="36"/>
      <c r="AI413" s="36"/>
      <c r="AJ413" s="36"/>
      <c r="AK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AF414" s="36"/>
      <c r="AG414" s="36"/>
      <c r="AH414" s="36"/>
      <c r="AI414" s="36"/>
      <c r="AJ414" s="36"/>
      <c r="AK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AF415" s="36"/>
      <c r="AG415" s="36"/>
      <c r="AH415" s="36"/>
      <c r="AI415" s="36"/>
      <c r="AJ415" s="36"/>
      <c r="AK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AF416" s="36"/>
      <c r="AG416" s="36"/>
      <c r="AH416" s="36"/>
      <c r="AI416" s="36"/>
      <c r="AJ416" s="36"/>
      <c r="AK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AF417" s="36"/>
      <c r="AG417" s="36"/>
      <c r="AH417" s="36"/>
      <c r="AI417" s="36"/>
      <c r="AJ417" s="36"/>
      <c r="AK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AF418" s="36"/>
      <c r="AG418" s="36"/>
      <c r="AH418" s="36"/>
      <c r="AI418" s="36"/>
      <c r="AJ418" s="36"/>
      <c r="AK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AF419" s="36"/>
      <c r="AG419" s="36"/>
      <c r="AH419" s="36"/>
      <c r="AI419" s="36"/>
      <c r="AJ419" s="36"/>
      <c r="AK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AF420" s="36"/>
      <c r="AG420" s="36"/>
      <c r="AH420" s="36"/>
      <c r="AI420" s="36"/>
      <c r="AJ420" s="36"/>
      <c r="AK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AF421" s="36"/>
      <c r="AG421" s="36"/>
      <c r="AH421" s="36"/>
      <c r="AI421" s="36"/>
      <c r="AJ421" s="36"/>
      <c r="AK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AF422" s="36"/>
      <c r="AG422" s="36"/>
      <c r="AH422" s="36"/>
      <c r="AI422" s="36"/>
      <c r="AJ422" s="36"/>
      <c r="AK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AF423" s="36"/>
      <c r="AG423" s="36"/>
      <c r="AH423" s="36"/>
      <c r="AI423" s="36"/>
      <c r="AJ423" s="36"/>
      <c r="AK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AF424" s="36"/>
      <c r="AG424" s="36"/>
      <c r="AH424" s="36"/>
      <c r="AI424" s="36"/>
      <c r="AJ424" s="36"/>
      <c r="AK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AF425" s="36"/>
      <c r="AG425" s="36"/>
      <c r="AH425" s="36"/>
      <c r="AI425" s="36"/>
      <c r="AJ425" s="36"/>
      <c r="AK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AF426" s="36"/>
      <c r="AG426" s="36"/>
      <c r="AH426" s="36"/>
      <c r="AI426" s="36"/>
      <c r="AJ426" s="36"/>
      <c r="AK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AF427" s="36"/>
      <c r="AG427" s="36"/>
      <c r="AH427" s="36"/>
      <c r="AI427" s="36"/>
      <c r="AJ427" s="36"/>
      <c r="AK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AF428" s="36"/>
      <c r="AG428" s="36"/>
      <c r="AH428" s="36"/>
      <c r="AI428" s="36"/>
      <c r="AJ428" s="36"/>
      <c r="AK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AF429" s="36"/>
      <c r="AG429" s="36"/>
      <c r="AH429" s="36"/>
      <c r="AI429" s="36"/>
      <c r="AJ429" s="36"/>
      <c r="AK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AF430" s="36"/>
      <c r="AG430" s="36"/>
      <c r="AH430" s="36"/>
      <c r="AI430" s="36"/>
      <c r="AJ430" s="36"/>
      <c r="AK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AF431" s="36"/>
      <c r="AG431" s="36"/>
      <c r="AH431" s="36"/>
      <c r="AI431" s="36"/>
      <c r="AJ431" s="36"/>
      <c r="AK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AF432" s="36"/>
      <c r="AG432" s="36"/>
      <c r="AH432" s="36"/>
      <c r="AI432" s="36"/>
      <c r="AJ432" s="36"/>
      <c r="AK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AF433" s="36"/>
      <c r="AG433" s="36"/>
      <c r="AH433" s="36"/>
      <c r="AI433" s="36"/>
      <c r="AJ433" s="36"/>
      <c r="AK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AF434" s="36"/>
      <c r="AG434" s="36"/>
      <c r="AH434" s="36"/>
      <c r="AI434" s="36"/>
      <c r="AJ434" s="36"/>
      <c r="AK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AF435" s="36"/>
      <c r="AG435" s="36"/>
      <c r="AH435" s="36"/>
      <c r="AI435" s="36"/>
      <c r="AJ435" s="36"/>
      <c r="AK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AF436" s="36"/>
      <c r="AG436" s="36"/>
      <c r="AH436" s="36"/>
      <c r="AI436" s="36"/>
      <c r="AJ436" s="36"/>
      <c r="AK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AF437" s="36"/>
      <c r="AG437" s="36"/>
      <c r="AH437" s="36"/>
      <c r="AI437" s="36"/>
      <c r="AJ437" s="36"/>
      <c r="AK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AF438" s="36"/>
      <c r="AG438" s="36"/>
      <c r="AH438" s="36"/>
      <c r="AI438" s="36"/>
      <c r="AJ438" s="36"/>
      <c r="AK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AF439" s="36"/>
      <c r="AG439" s="36"/>
      <c r="AH439" s="36"/>
      <c r="AI439" s="36"/>
      <c r="AJ439" s="36"/>
      <c r="AK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AF440" s="36"/>
      <c r="AG440" s="36"/>
      <c r="AH440" s="36"/>
      <c r="AI440" s="36"/>
      <c r="AJ440" s="36"/>
      <c r="AK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AF441" s="36"/>
      <c r="AG441" s="36"/>
      <c r="AH441" s="36"/>
      <c r="AI441" s="36"/>
      <c r="AJ441" s="36"/>
      <c r="AK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AF442" s="36"/>
      <c r="AG442" s="36"/>
      <c r="AH442" s="36"/>
      <c r="AI442" s="36"/>
      <c r="AJ442" s="36"/>
      <c r="AK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AF443" s="36"/>
      <c r="AG443" s="36"/>
      <c r="AH443" s="36"/>
      <c r="AI443" s="36"/>
      <c r="AJ443" s="36"/>
      <c r="AK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AF444" s="36"/>
      <c r="AG444" s="36"/>
      <c r="AH444" s="36"/>
      <c r="AI444" s="36"/>
      <c r="AJ444" s="36"/>
      <c r="AK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AF445" s="36"/>
      <c r="AG445" s="36"/>
      <c r="AH445" s="36"/>
      <c r="AI445" s="36"/>
      <c r="AJ445" s="36"/>
      <c r="AK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AF446" s="36"/>
      <c r="AG446" s="36"/>
      <c r="AH446" s="36"/>
      <c r="AI446" s="36"/>
      <c r="AJ446" s="36"/>
      <c r="AK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AF447" s="36"/>
      <c r="AG447" s="36"/>
      <c r="AH447" s="36"/>
      <c r="AI447" s="36"/>
      <c r="AJ447" s="36"/>
      <c r="AK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AF448" s="36"/>
      <c r="AG448" s="36"/>
      <c r="AH448" s="36"/>
      <c r="AI448" s="36"/>
      <c r="AJ448" s="36"/>
      <c r="AK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AF449" s="36"/>
      <c r="AG449" s="36"/>
      <c r="AH449" s="36"/>
      <c r="AI449" s="36"/>
      <c r="AJ449" s="36"/>
      <c r="AK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AF450" s="36"/>
      <c r="AG450" s="36"/>
      <c r="AH450" s="36"/>
      <c r="AI450" s="36"/>
      <c r="AJ450" s="36"/>
      <c r="AK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AF451" s="36"/>
      <c r="AG451" s="36"/>
      <c r="AH451" s="36"/>
      <c r="AI451" s="36"/>
      <c r="AJ451" s="36"/>
      <c r="AK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AF452" s="36"/>
      <c r="AG452" s="36"/>
      <c r="AH452" s="36"/>
      <c r="AI452" s="36"/>
      <c r="AJ452" s="36"/>
      <c r="AK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AF453" s="36"/>
      <c r="AG453" s="36"/>
      <c r="AH453" s="36"/>
      <c r="AI453" s="36"/>
      <c r="AJ453" s="36"/>
      <c r="AK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AF454" s="36"/>
      <c r="AG454" s="36"/>
      <c r="AH454" s="36"/>
      <c r="AI454" s="36"/>
      <c r="AJ454" s="36"/>
      <c r="AK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AF455" s="36"/>
      <c r="AG455" s="36"/>
      <c r="AH455" s="36"/>
      <c r="AI455" s="36"/>
      <c r="AJ455" s="36"/>
      <c r="AK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AF456" s="36"/>
      <c r="AG456" s="36"/>
      <c r="AH456" s="36"/>
      <c r="AI456" s="36"/>
      <c r="AJ456" s="36"/>
      <c r="AK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AF457" s="36"/>
      <c r="AG457" s="36"/>
      <c r="AH457" s="36"/>
      <c r="AI457" s="36"/>
      <c r="AJ457" s="36"/>
      <c r="AK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AF458" s="36"/>
      <c r="AG458" s="36"/>
      <c r="AH458" s="36"/>
      <c r="AI458" s="36"/>
      <c r="AJ458" s="36"/>
      <c r="AK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AF459" s="36"/>
      <c r="AG459" s="36"/>
      <c r="AH459" s="36"/>
      <c r="AI459" s="36"/>
      <c r="AJ459" s="36"/>
      <c r="AK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AF460" s="36"/>
      <c r="AG460" s="36"/>
      <c r="AH460" s="36"/>
      <c r="AI460" s="36"/>
      <c r="AJ460" s="36"/>
      <c r="AK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AF461" s="36"/>
      <c r="AG461" s="36"/>
      <c r="AH461" s="36"/>
      <c r="AI461" s="36"/>
      <c r="AJ461" s="36"/>
      <c r="AK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AF462" s="36"/>
      <c r="AG462" s="36"/>
      <c r="AH462" s="36"/>
      <c r="AI462" s="36"/>
      <c r="AJ462" s="36"/>
      <c r="AK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AF463" s="36"/>
      <c r="AG463" s="36"/>
      <c r="AH463" s="36"/>
      <c r="AI463" s="36"/>
      <c r="AJ463" s="36"/>
      <c r="AK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AF464" s="36"/>
      <c r="AG464" s="36"/>
      <c r="AH464" s="36"/>
      <c r="AI464" s="36"/>
      <c r="AJ464" s="36"/>
      <c r="AK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AF465" s="36"/>
      <c r="AG465" s="36"/>
      <c r="AH465" s="36"/>
      <c r="AI465" s="36"/>
      <c r="AJ465" s="36"/>
      <c r="AK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AF466" s="36"/>
      <c r="AG466" s="36"/>
      <c r="AH466" s="36"/>
      <c r="AI466" s="36"/>
      <c r="AJ466" s="36"/>
      <c r="AK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AF467" s="36"/>
      <c r="AG467" s="36"/>
      <c r="AH467" s="36"/>
      <c r="AI467" s="36"/>
      <c r="AJ467" s="36"/>
      <c r="AK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AF468" s="36"/>
      <c r="AG468" s="36"/>
      <c r="AH468" s="36"/>
      <c r="AI468" s="36"/>
      <c r="AJ468" s="36"/>
      <c r="AK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AF469" s="36"/>
      <c r="AG469" s="36"/>
      <c r="AH469" s="36"/>
      <c r="AI469" s="36"/>
      <c r="AJ469" s="36"/>
      <c r="AK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AF470" s="36"/>
      <c r="AG470" s="36"/>
      <c r="AH470" s="36"/>
      <c r="AI470" s="36"/>
      <c r="AJ470" s="36"/>
      <c r="AK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AF471" s="36"/>
      <c r="AG471" s="36"/>
      <c r="AH471" s="36"/>
      <c r="AI471" s="36"/>
      <c r="AJ471" s="36"/>
      <c r="AK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AF472" s="36"/>
      <c r="AG472" s="36"/>
      <c r="AH472" s="36"/>
      <c r="AI472" s="36"/>
      <c r="AJ472" s="36"/>
      <c r="AK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AF473" s="36"/>
      <c r="AG473" s="36"/>
      <c r="AH473" s="36"/>
      <c r="AI473" s="36"/>
      <c r="AJ473" s="36"/>
      <c r="AK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AF474" s="36"/>
      <c r="AG474" s="36"/>
      <c r="AH474" s="36"/>
      <c r="AI474" s="36"/>
      <c r="AJ474" s="36"/>
      <c r="AK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AF475" s="36"/>
      <c r="AG475" s="36"/>
      <c r="AH475" s="36"/>
      <c r="AI475" s="36"/>
      <c r="AJ475" s="36"/>
      <c r="AK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AF476" s="36"/>
      <c r="AG476" s="36"/>
      <c r="AH476" s="36"/>
      <c r="AI476" s="36"/>
      <c r="AJ476" s="36"/>
      <c r="AK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AF477" s="36"/>
      <c r="AG477" s="36"/>
      <c r="AH477" s="36"/>
      <c r="AI477" s="36"/>
      <c r="AJ477" s="36"/>
      <c r="AK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AF478" s="36"/>
      <c r="AG478" s="36"/>
      <c r="AH478" s="36"/>
      <c r="AI478" s="36"/>
      <c r="AJ478" s="36"/>
      <c r="AK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AF479" s="36"/>
      <c r="AG479" s="36"/>
      <c r="AH479" s="36"/>
      <c r="AI479" s="36"/>
      <c r="AJ479" s="36"/>
      <c r="AK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AF480" s="36"/>
      <c r="AG480" s="36"/>
      <c r="AH480" s="36"/>
      <c r="AI480" s="36"/>
      <c r="AJ480" s="36"/>
      <c r="AK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AF481" s="36"/>
      <c r="AG481" s="36"/>
      <c r="AH481" s="36"/>
      <c r="AI481" s="36"/>
      <c r="AJ481" s="36"/>
      <c r="AK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AF482" s="36"/>
      <c r="AG482" s="36"/>
      <c r="AH482" s="36"/>
      <c r="AI482" s="36"/>
      <c r="AJ482" s="36"/>
      <c r="AK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AF483" s="36"/>
      <c r="AG483" s="36"/>
      <c r="AH483" s="36"/>
      <c r="AI483" s="36"/>
      <c r="AJ483" s="36"/>
      <c r="AK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AF484" s="36"/>
      <c r="AG484" s="36"/>
      <c r="AH484" s="36"/>
      <c r="AI484" s="36"/>
      <c r="AJ484" s="36"/>
      <c r="AK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AF485" s="36"/>
      <c r="AG485" s="36"/>
      <c r="AH485" s="36"/>
      <c r="AI485" s="36"/>
      <c r="AJ485" s="36"/>
      <c r="AK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AF486" s="36"/>
      <c r="AG486" s="36"/>
      <c r="AH486" s="36"/>
      <c r="AI486" s="36"/>
      <c r="AJ486" s="36"/>
      <c r="AK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AF487" s="36"/>
      <c r="AG487" s="36"/>
      <c r="AH487" s="36"/>
      <c r="AI487" s="36"/>
      <c r="AJ487" s="36"/>
      <c r="AK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AF488" s="36"/>
      <c r="AG488" s="36"/>
      <c r="AH488" s="36"/>
      <c r="AI488" s="36"/>
      <c r="AJ488" s="36"/>
      <c r="AK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AF489" s="36"/>
      <c r="AG489" s="36"/>
      <c r="AH489" s="36"/>
      <c r="AI489" s="36"/>
      <c r="AJ489" s="36"/>
      <c r="AK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AF490" s="36"/>
      <c r="AG490" s="36"/>
      <c r="AH490" s="36"/>
      <c r="AI490" s="36"/>
      <c r="AJ490" s="36"/>
      <c r="AK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AF491" s="36"/>
      <c r="AG491" s="36"/>
      <c r="AH491" s="36"/>
      <c r="AI491" s="36"/>
      <c r="AJ491" s="36"/>
      <c r="AK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AF492" s="36"/>
      <c r="AG492" s="36"/>
      <c r="AH492" s="36"/>
      <c r="AI492" s="36"/>
      <c r="AJ492" s="36"/>
      <c r="AK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AF493" s="36"/>
      <c r="AG493" s="36"/>
      <c r="AH493" s="36"/>
      <c r="AI493" s="36"/>
      <c r="AJ493" s="36"/>
      <c r="AK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AF494" s="36"/>
      <c r="AG494" s="36"/>
      <c r="AH494" s="36"/>
      <c r="AI494" s="36"/>
      <c r="AJ494" s="36"/>
      <c r="AK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AF495" s="36"/>
      <c r="AG495" s="36"/>
      <c r="AH495" s="36"/>
      <c r="AI495" s="36"/>
      <c r="AJ495" s="36"/>
      <c r="AK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AF496" s="36"/>
      <c r="AG496" s="36"/>
      <c r="AH496" s="36"/>
      <c r="AI496" s="36"/>
      <c r="AJ496" s="36"/>
      <c r="AK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AF497" s="36"/>
      <c r="AG497" s="36"/>
      <c r="AH497" s="36"/>
      <c r="AI497" s="36"/>
      <c r="AJ497" s="36"/>
      <c r="AK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AF498" s="36"/>
      <c r="AG498" s="36"/>
      <c r="AH498" s="36"/>
      <c r="AI498" s="36"/>
      <c r="AJ498" s="36"/>
      <c r="AK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AF499" s="36"/>
      <c r="AG499" s="36"/>
      <c r="AH499" s="36"/>
      <c r="AI499" s="36"/>
      <c r="AJ499" s="36"/>
      <c r="AK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AF500" s="36"/>
      <c r="AG500" s="36"/>
      <c r="AH500" s="36"/>
      <c r="AI500" s="36"/>
      <c r="AJ500" s="36"/>
      <c r="AK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AF501" s="36"/>
      <c r="AG501" s="36"/>
      <c r="AH501" s="36"/>
      <c r="AI501" s="36"/>
      <c r="AJ501" s="36"/>
      <c r="AK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AF502" s="36"/>
      <c r="AG502" s="36"/>
      <c r="AH502" s="36"/>
      <c r="AI502" s="36"/>
      <c r="AJ502" s="36"/>
      <c r="AK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AF503" s="36"/>
      <c r="AG503" s="36"/>
      <c r="AH503" s="36"/>
      <c r="AI503" s="36"/>
      <c r="AJ503" s="36"/>
      <c r="AK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AF504" s="36"/>
      <c r="AG504" s="36"/>
      <c r="AH504" s="36"/>
      <c r="AI504" s="36"/>
      <c r="AJ504" s="36"/>
      <c r="AK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AF505" s="36"/>
      <c r="AG505" s="36"/>
      <c r="AH505" s="36"/>
      <c r="AI505" s="36"/>
      <c r="AJ505" s="36"/>
      <c r="AK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AF506" s="36"/>
      <c r="AG506" s="36"/>
      <c r="AH506" s="36"/>
      <c r="AI506" s="36"/>
      <c r="AJ506" s="36"/>
      <c r="AK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AF507" s="36"/>
      <c r="AG507" s="36"/>
      <c r="AH507" s="36"/>
      <c r="AI507" s="36"/>
      <c r="AJ507" s="36"/>
      <c r="AK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AF508" s="36"/>
      <c r="AG508" s="36"/>
      <c r="AH508" s="36"/>
      <c r="AI508" s="36"/>
      <c r="AJ508" s="36"/>
      <c r="AK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AF509" s="36"/>
      <c r="AG509" s="36"/>
      <c r="AH509" s="36"/>
      <c r="AI509" s="36"/>
      <c r="AJ509" s="36"/>
      <c r="AK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AF510" s="36"/>
      <c r="AG510" s="36"/>
      <c r="AH510" s="36"/>
      <c r="AI510" s="36"/>
      <c r="AJ510" s="36"/>
      <c r="AK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AF511" s="36"/>
      <c r="AG511" s="36"/>
      <c r="AH511" s="36"/>
      <c r="AI511" s="36"/>
      <c r="AJ511" s="36"/>
      <c r="AK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AF512" s="36"/>
      <c r="AG512" s="36"/>
      <c r="AH512" s="36"/>
      <c r="AI512" s="36"/>
      <c r="AJ512" s="36"/>
      <c r="AK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AF513" s="36"/>
      <c r="AG513" s="36"/>
      <c r="AH513" s="36"/>
      <c r="AI513" s="36"/>
      <c r="AJ513" s="36"/>
      <c r="AK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AF514" s="36"/>
      <c r="AG514" s="36"/>
      <c r="AH514" s="36"/>
      <c r="AI514" s="36"/>
      <c r="AJ514" s="36"/>
      <c r="AK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AF515" s="36"/>
      <c r="AG515" s="36"/>
      <c r="AH515" s="36"/>
      <c r="AI515" s="36"/>
      <c r="AJ515" s="36"/>
      <c r="AK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AF516" s="36"/>
      <c r="AG516" s="36"/>
      <c r="AH516" s="36"/>
      <c r="AI516" s="36"/>
      <c r="AJ516" s="36"/>
      <c r="AK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AF517" s="36"/>
      <c r="AG517" s="36"/>
      <c r="AH517" s="36"/>
      <c r="AI517" s="36"/>
      <c r="AJ517" s="36"/>
      <c r="AK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AF518" s="36"/>
      <c r="AG518" s="36"/>
      <c r="AH518" s="36"/>
      <c r="AI518" s="36"/>
      <c r="AJ518" s="36"/>
      <c r="AK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AF519" s="36"/>
      <c r="AG519" s="36"/>
      <c r="AH519" s="36"/>
      <c r="AI519" s="36"/>
      <c r="AJ519" s="36"/>
      <c r="AK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AF520" s="36"/>
      <c r="AG520" s="36"/>
      <c r="AH520" s="36"/>
      <c r="AI520" s="36"/>
      <c r="AJ520" s="36"/>
      <c r="AK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AF521" s="36"/>
      <c r="AG521" s="36"/>
      <c r="AH521" s="36"/>
      <c r="AI521" s="36"/>
      <c r="AJ521" s="36"/>
      <c r="AK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AF522" s="36"/>
      <c r="AG522" s="36"/>
      <c r="AH522" s="36"/>
      <c r="AI522" s="36"/>
      <c r="AJ522" s="36"/>
      <c r="AK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AF523" s="36"/>
      <c r="AG523" s="36"/>
      <c r="AH523" s="36"/>
      <c r="AI523" s="36"/>
      <c r="AJ523" s="36"/>
      <c r="AK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AF524" s="36"/>
      <c r="AG524" s="36"/>
      <c r="AH524" s="36"/>
      <c r="AI524" s="36"/>
      <c r="AJ524" s="36"/>
      <c r="AK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AF525" s="36"/>
      <c r="AG525" s="36"/>
      <c r="AH525" s="36"/>
      <c r="AI525" s="36"/>
      <c r="AJ525" s="36"/>
      <c r="AK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AF526" s="36"/>
      <c r="AG526" s="36"/>
      <c r="AH526" s="36"/>
      <c r="AI526" s="36"/>
      <c r="AJ526" s="36"/>
      <c r="AK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AF527" s="36"/>
      <c r="AG527" s="36"/>
      <c r="AH527" s="36"/>
      <c r="AI527" s="36"/>
      <c r="AJ527" s="36"/>
      <c r="AK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AF528" s="36"/>
      <c r="AG528" s="36"/>
      <c r="AH528" s="36"/>
      <c r="AI528" s="36"/>
      <c r="AJ528" s="36"/>
      <c r="AK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AF529" s="36"/>
      <c r="AG529" s="36"/>
      <c r="AH529" s="36"/>
      <c r="AI529" s="36"/>
      <c r="AJ529" s="36"/>
      <c r="AK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AF530" s="36"/>
      <c r="AG530" s="36"/>
      <c r="AH530" s="36"/>
      <c r="AI530" s="36"/>
      <c r="AJ530" s="36"/>
      <c r="AK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AF531" s="36"/>
      <c r="AG531" s="36"/>
      <c r="AH531" s="36"/>
      <c r="AI531" s="36"/>
      <c r="AJ531" s="36"/>
      <c r="AK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AF532" s="36"/>
      <c r="AG532" s="36"/>
      <c r="AH532" s="36"/>
      <c r="AI532" s="36"/>
      <c r="AJ532" s="36"/>
      <c r="AK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AF533" s="36"/>
      <c r="AG533" s="36"/>
      <c r="AH533" s="36"/>
      <c r="AI533" s="36"/>
      <c r="AJ533" s="36"/>
      <c r="AK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AF534" s="36"/>
      <c r="AG534" s="36"/>
      <c r="AH534" s="36"/>
      <c r="AI534" s="36"/>
      <c r="AJ534" s="36"/>
      <c r="AK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AF535" s="36"/>
      <c r="AG535" s="36"/>
      <c r="AH535" s="36"/>
      <c r="AI535" s="36"/>
      <c r="AJ535" s="36"/>
      <c r="AK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AF536" s="36"/>
      <c r="AG536" s="36"/>
      <c r="AH536" s="36"/>
      <c r="AI536" s="36"/>
      <c r="AJ536" s="36"/>
      <c r="AK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AF537" s="36"/>
      <c r="AG537" s="36"/>
      <c r="AH537" s="36"/>
      <c r="AI537" s="36"/>
      <c r="AJ537" s="36"/>
      <c r="AK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AF538" s="36"/>
      <c r="AG538" s="36"/>
      <c r="AH538" s="36"/>
      <c r="AI538" s="36"/>
      <c r="AJ538" s="36"/>
      <c r="AK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AF539" s="36"/>
      <c r="AG539" s="36"/>
      <c r="AH539" s="36"/>
      <c r="AI539" s="36"/>
      <c r="AJ539" s="36"/>
      <c r="AK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AF540" s="36"/>
      <c r="AG540" s="36"/>
      <c r="AH540" s="36"/>
      <c r="AI540" s="36"/>
      <c r="AJ540" s="36"/>
      <c r="AK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AF541" s="36"/>
      <c r="AG541" s="36"/>
      <c r="AH541" s="36"/>
      <c r="AI541" s="36"/>
      <c r="AJ541" s="36"/>
      <c r="AK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AF542" s="36"/>
      <c r="AG542" s="36"/>
      <c r="AH542" s="36"/>
      <c r="AI542" s="36"/>
      <c r="AJ542" s="36"/>
      <c r="AK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AF543" s="36"/>
      <c r="AG543" s="36"/>
      <c r="AH543" s="36"/>
      <c r="AI543" s="36"/>
      <c r="AJ543" s="36"/>
      <c r="AK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AF544" s="36"/>
      <c r="AG544" s="36"/>
      <c r="AH544" s="36"/>
      <c r="AI544" s="36"/>
      <c r="AJ544" s="36"/>
      <c r="AK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AF545" s="36"/>
      <c r="AG545" s="36"/>
      <c r="AH545" s="36"/>
      <c r="AI545" s="36"/>
      <c r="AJ545" s="36"/>
      <c r="AK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AF546" s="36"/>
      <c r="AG546" s="36"/>
      <c r="AH546" s="36"/>
      <c r="AI546" s="36"/>
      <c r="AJ546" s="36"/>
      <c r="AK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AF547" s="36"/>
      <c r="AG547" s="36"/>
      <c r="AH547" s="36"/>
      <c r="AI547" s="36"/>
      <c r="AJ547" s="36"/>
      <c r="AK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AF548" s="36"/>
      <c r="AG548" s="36"/>
      <c r="AH548" s="36"/>
      <c r="AI548" s="36"/>
      <c r="AJ548" s="36"/>
      <c r="AK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AF549" s="36"/>
      <c r="AG549" s="36"/>
      <c r="AH549" s="36"/>
      <c r="AI549" s="36"/>
      <c r="AJ549" s="36"/>
      <c r="AK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AF550" s="36"/>
      <c r="AG550" s="36"/>
      <c r="AH550" s="36"/>
      <c r="AI550" s="36"/>
      <c r="AJ550" s="36"/>
      <c r="AK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AF551" s="36"/>
      <c r="AG551" s="36"/>
      <c r="AH551" s="36"/>
      <c r="AI551" s="36"/>
      <c r="AJ551" s="36"/>
      <c r="AK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AF552" s="36"/>
      <c r="AG552" s="36"/>
      <c r="AH552" s="36"/>
      <c r="AI552" s="36"/>
      <c r="AJ552" s="36"/>
      <c r="AK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AF553" s="36"/>
      <c r="AG553" s="36"/>
      <c r="AH553" s="36"/>
      <c r="AI553" s="36"/>
      <c r="AJ553" s="36"/>
      <c r="AK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AF554" s="36"/>
      <c r="AG554" s="36"/>
      <c r="AH554" s="36"/>
      <c r="AI554" s="36"/>
      <c r="AJ554" s="36"/>
      <c r="AK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AF555" s="36"/>
      <c r="AG555" s="36"/>
      <c r="AH555" s="36"/>
      <c r="AI555" s="36"/>
      <c r="AJ555" s="36"/>
      <c r="AK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AF556" s="36"/>
      <c r="AG556" s="36"/>
      <c r="AH556" s="36"/>
      <c r="AI556" s="36"/>
      <c r="AJ556" s="36"/>
      <c r="AK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AF557" s="36"/>
      <c r="AG557" s="36"/>
      <c r="AH557" s="36"/>
      <c r="AI557" s="36"/>
      <c r="AJ557" s="36"/>
      <c r="AK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AF558" s="36"/>
      <c r="AG558" s="36"/>
      <c r="AH558" s="36"/>
      <c r="AI558" s="36"/>
      <c r="AJ558" s="36"/>
      <c r="AK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AF559" s="36"/>
      <c r="AG559" s="36"/>
      <c r="AH559" s="36"/>
      <c r="AI559" s="36"/>
      <c r="AJ559" s="36"/>
      <c r="AK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AF560" s="36"/>
      <c r="AG560" s="36"/>
      <c r="AH560" s="36"/>
      <c r="AI560" s="36"/>
      <c r="AJ560" s="36"/>
      <c r="AK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AF561" s="36"/>
      <c r="AG561" s="36"/>
      <c r="AH561" s="36"/>
      <c r="AI561" s="36"/>
      <c r="AJ561" s="36"/>
      <c r="AK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AF562" s="36"/>
      <c r="AG562" s="36"/>
      <c r="AH562" s="36"/>
      <c r="AI562" s="36"/>
      <c r="AJ562" s="36"/>
      <c r="AK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AF563" s="36"/>
      <c r="AG563" s="36"/>
      <c r="AH563" s="36"/>
      <c r="AI563" s="36"/>
      <c r="AJ563" s="36"/>
      <c r="AK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AF564" s="36"/>
      <c r="AG564" s="36"/>
      <c r="AH564" s="36"/>
      <c r="AI564" s="36"/>
      <c r="AJ564" s="36"/>
      <c r="AK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AF565" s="36"/>
      <c r="AG565" s="36"/>
      <c r="AH565" s="36"/>
      <c r="AI565" s="36"/>
      <c r="AJ565" s="36"/>
      <c r="AK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AF566" s="36"/>
      <c r="AG566" s="36"/>
      <c r="AH566" s="36"/>
      <c r="AI566" s="36"/>
      <c r="AJ566" s="36"/>
      <c r="AK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AF567" s="36"/>
      <c r="AG567" s="36"/>
      <c r="AH567" s="36"/>
      <c r="AI567" s="36"/>
      <c r="AJ567" s="36"/>
      <c r="AK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AF568" s="36"/>
      <c r="AG568" s="36"/>
      <c r="AH568" s="36"/>
      <c r="AI568" s="36"/>
      <c r="AJ568" s="36"/>
      <c r="AK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AF569" s="36"/>
      <c r="AG569" s="36"/>
      <c r="AH569" s="36"/>
      <c r="AI569" s="36"/>
      <c r="AJ569" s="36"/>
      <c r="AK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AF570" s="36"/>
      <c r="AG570" s="36"/>
      <c r="AH570" s="36"/>
      <c r="AI570" s="36"/>
      <c r="AJ570" s="36"/>
      <c r="AK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AF571" s="36"/>
      <c r="AG571" s="36"/>
      <c r="AH571" s="36"/>
      <c r="AI571" s="36"/>
      <c r="AJ571" s="36"/>
      <c r="AK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AF572" s="36"/>
      <c r="AG572" s="36"/>
      <c r="AH572" s="36"/>
      <c r="AI572" s="36"/>
      <c r="AJ572" s="36"/>
      <c r="AK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AF573" s="36"/>
      <c r="AG573" s="36"/>
      <c r="AH573" s="36"/>
      <c r="AI573" s="36"/>
      <c r="AJ573" s="36"/>
      <c r="AK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AF574" s="36"/>
      <c r="AG574" s="36"/>
      <c r="AH574" s="36"/>
      <c r="AI574" s="36"/>
      <c r="AJ574" s="36"/>
      <c r="AK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AF575" s="36"/>
      <c r="AG575" s="36"/>
      <c r="AH575" s="36"/>
      <c r="AI575" s="36"/>
      <c r="AJ575" s="36"/>
      <c r="AK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AF576" s="36"/>
      <c r="AG576" s="36"/>
      <c r="AH576" s="36"/>
      <c r="AI576" s="36"/>
      <c r="AJ576" s="36"/>
      <c r="AK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AF577" s="36"/>
      <c r="AG577" s="36"/>
      <c r="AH577" s="36"/>
      <c r="AI577" s="36"/>
      <c r="AJ577" s="36"/>
      <c r="AK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AF578" s="36"/>
      <c r="AG578" s="36"/>
      <c r="AH578" s="36"/>
      <c r="AI578" s="36"/>
      <c r="AJ578" s="36"/>
      <c r="AK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AF579" s="36"/>
      <c r="AG579" s="36"/>
      <c r="AH579" s="36"/>
      <c r="AI579" s="36"/>
      <c r="AJ579" s="36"/>
      <c r="AK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AF580" s="36"/>
      <c r="AG580" s="36"/>
      <c r="AH580" s="36"/>
      <c r="AI580" s="36"/>
      <c r="AJ580" s="36"/>
      <c r="AK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AF581" s="36"/>
      <c r="AG581" s="36"/>
      <c r="AH581" s="36"/>
      <c r="AI581" s="36"/>
      <c r="AJ581" s="36"/>
      <c r="AK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AF582" s="36"/>
      <c r="AG582" s="36"/>
      <c r="AH582" s="36"/>
      <c r="AI582" s="36"/>
      <c r="AJ582" s="36"/>
      <c r="AK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AF583" s="36"/>
      <c r="AG583" s="36"/>
      <c r="AH583" s="36"/>
      <c r="AI583" s="36"/>
      <c r="AJ583" s="36"/>
      <c r="AK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AF584" s="36"/>
      <c r="AG584" s="36"/>
      <c r="AH584" s="36"/>
      <c r="AI584" s="36"/>
      <c r="AJ584" s="36"/>
      <c r="AK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AF585" s="36"/>
      <c r="AG585" s="36"/>
      <c r="AH585" s="36"/>
      <c r="AI585" s="36"/>
      <c r="AJ585" s="36"/>
      <c r="AK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AF586" s="36"/>
      <c r="AG586" s="36"/>
      <c r="AH586" s="36"/>
      <c r="AI586" s="36"/>
      <c r="AJ586" s="36"/>
      <c r="AK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AF587" s="36"/>
      <c r="AG587" s="36"/>
      <c r="AH587" s="36"/>
      <c r="AI587" s="36"/>
      <c r="AJ587" s="36"/>
      <c r="AK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AF588" s="36"/>
      <c r="AG588" s="36"/>
      <c r="AH588" s="36"/>
      <c r="AI588" s="36"/>
      <c r="AJ588" s="36"/>
      <c r="AK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AF589" s="36"/>
      <c r="AG589" s="36"/>
      <c r="AH589" s="36"/>
      <c r="AI589" s="36"/>
      <c r="AJ589" s="36"/>
      <c r="AK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AF590" s="36"/>
      <c r="AG590" s="36"/>
      <c r="AH590" s="36"/>
      <c r="AI590" s="36"/>
      <c r="AJ590" s="36"/>
      <c r="AK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AF591" s="36"/>
      <c r="AG591" s="36"/>
      <c r="AH591" s="36"/>
      <c r="AI591" s="36"/>
      <c r="AJ591" s="36"/>
      <c r="AK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AF592" s="36"/>
      <c r="AG592" s="36"/>
      <c r="AH592" s="36"/>
      <c r="AI592" s="36"/>
      <c r="AJ592" s="36"/>
      <c r="AK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AF593" s="36"/>
      <c r="AG593" s="36"/>
      <c r="AH593" s="36"/>
      <c r="AI593" s="36"/>
      <c r="AJ593" s="36"/>
      <c r="AK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AF594" s="36"/>
      <c r="AG594" s="36"/>
      <c r="AH594" s="36"/>
      <c r="AI594" s="36"/>
      <c r="AJ594" s="36"/>
      <c r="AK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AF595" s="36"/>
      <c r="AG595" s="36"/>
      <c r="AH595" s="36"/>
      <c r="AI595" s="36"/>
      <c r="AJ595" s="36"/>
      <c r="AK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AF596" s="36"/>
      <c r="AG596" s="36"/>
      <c r="AH596" s="36"/>
      <c r="AI596" s="36"/>
      <c r="AJ596" s="36"/>
      <c r="AK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AF597" s="36"/>
      <c r="AG597" s="36"/>
      <c r="AH597" s="36"/>
      <c r="AI597" s="36"/>
      <c r="AJ597" s="36"/>
      <c r="AK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AF598" s="36"/>
      <c r="AG598" s="36"/>
      <c r="AH598" s="36"/>
      <c r="AI598" s="36"/>
      <c r="AJ598" s="36"/>
      <c r="AK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AF599" s="36"/>
      <c r="AG599" s="36"/>
      <c r="AH599" s="36"/>
      <c r="AI599" s="36"/>
      <c r="AJ599" s="36"/>
      <c r="AK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AF600" s="36"/>
      <c r="AG600" s="36"/>
      <c r="AH600" s="36"/>
      <c r="AI600" s="36"/>
      <c r="AJ600" s="36"/>
      <c r="AK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AF601" s="36"/>
      <c r="AG601" s="36"/>
      <c r="AH601" s="36"/>
      <c r="AI601" s="36"/>
      <c r="AJ601" s="36"/>
      <c r="AK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AF602" s="36"/>
      <c r="AG602" s="36"/>
      <c r="AH602" s="36"/>
      <c r="AI602" s="36"/>
      <c r="AJ602" s="36"/>
      <c r="AK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AF603" s="36"/>
      <c r="AG603" s="36"/>
      <c r="AH603" s="36"/>
      <c r="AI603" s="36"/>
      <c r="AJ603" s="36"/>
      <c r="AK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AF604" s="36"/>
      <c r="AG604" s="36"/>
      <c r="AH604" s="36"/>
      <c r="AI604" s="36"/>
      <c r="AJ604" s="36"/>
      <c r="AK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AF605" s="36"/>
      <c r="AG605" s="36"/>
      <c r="AH605" s="36"/>
      <c r="AI605" s="36"/>
      <c r="AJ605" s="36"/>
      <c r="AK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AF606" s="36"/>
      <c r="AG606" s="36"/>
      <c r="AH606" s="36"/>
      <c r="AI606" s="36"/>
      <c r="AJ606" s="36"/>
      <c r="AK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AF607" s="36"/>
      <c r="AG607" s="36"/>
      <c r="AH607" s="36"/>
      <c r="AI607" s="36"/>
      <c r="AJ607" s="36"/>
      <c r="AK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AF608" s="36"/>
      <c r="AG608" s="36"/>
      <c r="AH608" s="36"/>
      <c r="AI608" s="36"/>
      <c r="AJ608" s="36"/>
      <c r="AK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AF609" s="36"/>
      <c r="AG609" s="36"/>
      <c r="AH609" s="36"/>
      <c r="AI609" s="36"/>
      <c r="AJ609" s="36"/>
      <c r="AK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AF610" s="36"/>
      <c r="AG610" s="36"/>
      <c r="AH610" s="36"/>
      <c r="AI610" s="36"/>
      <c r="AJ610" s="36"/>
      <c r="AK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AF611" s="36"/>
      <c r="AG611" s="36"/>
      <c r="AH611" s="36"/>
      <c r="AI611" s="36"/>
      <c r="AJ611" s="36"/>
      <c r="AK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AF612" s="36"/>
      <c r="AG612" s="36"/>
      <c r="AH612" s="36"/>
      <c r="AI612" s="36"/>
      <c r="AJ612" s="36"/>
      <c r="AK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AF613" s="36"/>
      <c r="AG613" s="36"/>
      <c r="AH613" s="36"/>
      <c r="AI613" s="36"/>
      <c r="AJ613" s="36"/>
      <c r="AK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AF614" s="36"/>
      <c r="AG614" s="36"/>
      <c r="AH614" s="36"/>
      <c r="AI614" s="36"/>
      <c r="AJ614" s="36"/>
      <c r="AK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AF615" s="36"/>
      <c r="AG615" s="36"/>
      <c r="AH615" s="36"/>
      <c r="AI615" s="36"/>
      <c r="AJ615" s="36"/>
      <c r="AK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AF616" s="36"/>
      <c r="AG616" s="36"/>
      <c r="AH616" s="36"/>
      <c r="AI616" s="36"/>
      <c r="AJ616" s="36"/>
      <c r="AK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AF617" s="36"/>
      <c r="AG617" s="36"/>
      <c r="AH617" s="36"/>
      <c r="AI617" s="36"/>
      <c r="AJ617" s="36"/>
      <c r="AK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AF618" s="36"/>
      <c r="AG618" s="36"/>
      <c r="AH618" s="36"/>
      <c r="AI618" s="36"/>
      <c r="AJ618" s="36"/>
      <c r="AK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AF619" s="36"/>
      <c r="AG619" s="36"/>
      <c r="AH619" s="36"/>
      <c r="AI619" s="36"/>
      <c r="AJ619" s="36"/>
      <c r="AK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AF620" s="36"/>
      <c r="AG620" s="36"/>
      <c r="AH620" s="36"/>
      <c r="AI620" s="36"/>
      <c r="AJ620" s="36"/>
      <c r="AK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AF621" s="36"/>
      <c r="AG621" s="36"/>
      <c r="AH621" s="36"/>
      <c r="AI621" s="36"/>
      <c r="AJ621" s="36"/>
      <c r="AK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AF622" s="36"/>
      <c r="AG622" s="36"/>
      <c r="AH622" s="36"/>
      <c r="AI622" s="36"/>
      <c r="AJ622" s="36"/>
      <c r="AK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AF623" s="36"/>
      <c r="AG623" s="36"/>
      <c r="AH623" s="36"/>
      <c r="AI623" s="36"/>
      <c r="AJ623" s="36"/>
      <c r="AK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AF624" s="36"/>
      <c r="AG624" s="36"/>
      <c r="AH624" s="36"/>
      <c r="AI624" s="36"/>
      <c r="AJ624" s="36"/>
      <c r="AK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AF625" s="36"/>
      <c r="AG625" s="36"/>
      <c r="AH625" s="36"/>
      <c r="AI625" s="36"/>
      <c r="AJ625" s="36"/>
      <c r="AK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AF626" s="36"/>
      <c r="AG626" s="36"/>
      <c r="AH626" s="36"/>
      <c r="AI626" s="36"/>
      <c r="AJ626" s="36"/>
      <c r="AK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AF627" s="36"/>
      <c r="AG627" s="36"/>
      <c r="AH627" s="36"/>
      <c r="AI627" s="36"/>
      <c r="AJ627" s="36"/>
      <c r="AK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AF628" s="36"/>
      <c r="AG628" s="36"/>
      <c r="AH628" s="36"/>
      <c r="AI628" s="36"/>
      <c r="AJ628" s="36"/>
      <c r="AK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AF629" s="36"/>
      <c r="AG629" s="36"/>
      <c r="AH629" s="36"/>
      <c r="AI629" s="36"/>
      <c r="AJ629" s="36"/>
      <c r="AK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AF630" s="36"/>
      <c r="AG630" s="36"/>
      <c r="AH630" s="36"/>
      <c r="AI630" s="36"/>
      <c r="AJ630" s="36"/>
      <c r="AK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AF631" s="36"/>
      <c r="AG631" s="36"/>
      <c r="AH631" s="36"/>
      <c r="AI631" s="36"/>
      <c r="AJ631" s="36"/>
      <c r="AK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AF632" s="36"/>
      <c r="AG632" s="36"/>
      <c r="AH632" s="36"/>
      <c r="AI632" s="36"/>
      <c r="AJ632" s="36"/>
      <c r="AK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AF633" s="36"/>
      <c r="AG633" s="36"/>
      <c r="AH633" s="36"/>
      <c r="AI633" s="36"/>
      <c r="AJ633" s="36"/>
      <c r="AK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AF634" s="36"/>
      <c r="AG634" s="36"/>
      <c r="AH634" s="36"/>
      <c r="AI634" s="36"/>
      <c r="AJ634" s="36"/>
      <c r="AK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AF635" s="36"/>
      <c r="AG635" s="36"/>
      <c r="AH635" s="36"/>
      <c r="AI635" s="36"/>
      <c r="AJ635" s="36"/>
      <c r="AK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AF636" s="36"/>
      <c r="AG636" s="36"/>
      <c r="AH636" s="36"/>
      <c r="AI636" s="36"/>
      <c r="AJ636" s="36"/>
      <c r="AK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AF637" s="36"/>
      <c r="AG637" s="36"/>
      <c r="AH637" s="36"/>
      <c r="AI637" s="36"/>
      <c r="AJ637" s="36"/>
      <c r="AK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AF638" s="36"/>
      <c r="AG638" s="36"/>
      <c r="AH638" s="36"/>
      <c r="AI638" s="36"/>
      <c r="AJ638" s="36"/>
      <c r="AK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AF639" s="36"/>
      <c r="AG639" s="36"/>
      <c r="AH639" s="36"/>
      <c r="AI639" s="36"/>
      <c r="AJ639" s="36"/>
      <c r="AK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AF640" s="36"/>
      <c r="AG640" s="36"/>
      <c r="AH640" s="36"/>
      <c r="AI640" s="36"/>
      <c r="AJ640" s="36"/>
      <c r="AK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AF641" s="36"/>
      <c r="AG641" s="36"/>
      <c r="AH641" s="36"/>
      <c r="AI641" s="36"/>
      <c r="AJ641" s="36"/>
      <c r="AK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AF642" s="36"/>
      <c r="AG642" s="36"/>
      <c r="AH642" s="36"/>
      <c r="AI642" s="36"/>
      <c r="AJ642" s="36"/>
      <c r="AK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AF643" s="36"/>
      <c r="AG643" s="36"/>
      <c r="AH643" s="36"/>
      <c r="AI643" s="36"/>
      <c r="AJ643" s="36"/>
      <c r="AK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AF644" s="36"/>
      <c r="AG644" s="36"/>
      <c r="AH644" s="36"/>
      <c r="AI644" s="36"/>
      <c r="AJ644" s="36"/>
      <c r="AK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AF645" s="36"/>
      <c r="AG645" s="36"/>
      <c r="AH645" s="36"/>
      <c r="AI645" s="36"/>
      <c r="AJ645" s="36"/>
      <c r="AK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AF646" s="36"/>
      <c r="AG646" s="36"/>
      <c r="AH646" s="36"/>
      <c r="AI646" s="36"/>
      <c r="AJ646" s="36"/>
      <c r="AK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AF647" s="36"/>
      <c r="AG647" s="36"/>
      <c r="AH647" s="36"/>
      <c r="AI647" s="36"/>
      <c r="AJ647" s="36"/>
      <c r="AK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AF648" s="36"/>
      <c r="AG648" s="36"/>
      <c r="AH648" s="36"/>
      <c r="AI648" s="36"/>
      <c r="AJ648" s="36"/>
      <c r="AK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AF649" s="36"/>
      <c r="AG649" s="36"/>
      <c r="AH649" s="36"/>
      <c r="AI649" s="36"/>
      <c r="AJ649" s="36"/>
      <c r="AK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AF650" s="36"/>
      <c r="AG650" s="36"/>
      <c r="AH650" s="36"/>
      <c r="AI650" s="36"/>
      <c r="AJ650" s="36"/>
      <c r="AK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AF651" s="36"/>
      <c r="AG651" s="36"/>
      <c r="AH651" s="36"/>
      <c r="AI651" s="36"/>
      <c r="AJ651" s="36"/>
      <c r="AK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AF652" s="36"/>
      <c r="AG652" s="36"/>
      <c r="AH652" s="36"/>
      <c r="AI652" s="36"/>
      <c r="AJ652" s="36"/>
      <c r="AK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AF653" s="36"/>
      <c r="AG653" s="36"/>
      <c r="AH653" s="36"/>
      <c r="AI653" s="36"/>
      <c r="AJ653" s="36"/>
      <c r="AK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AF654" s="36"/>
      <c r="AG654" s="36"/>
      <c r="AH654" s="36"/>
      <c r="AI654" s="36"/>
      <c r="AJ654" s="36"/>
      <c r="AK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AF655" s="36"/>
      <c r="AG655" s="36"/>
      <c r="AH655" s="36"/>
      <c r="AI655" s="36"/>
      <c r="AJ655" s="36"/>
      <c r="AK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AF656" s="36"/>
      <c r="AG656" s="36"/>
      <c r="AH656" s="36"/>
      <c r="AI656" s="36"/>
      <c r="AJ656" s="36"/>
      <c r="AK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AF657" s="36"/>
      <c r="AG657" s="36"/>
      <c r="AH657" s="36"/>
      <c r="AI657" s="36"/>
      <c r="AJ657" s="36"/>
      <c r="AK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AF658" s="36"/>
      <c r="AG658" s="36"/>
      <c r="AH658" s="36"/>
      <c r="AI658" s="36"/>
      <c r="AJ658" s="36"/>
      <c r="AK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AF659" s="36"/>
      <c r="AG659" s="36"/>
      <c r="AH659" s="36"/>
      <c r="AI659" s="36"/>
      <c r="AJ659" s="36"/>
      <c r="AK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AF660" s="36"/>
      <c r="AG660" s="36"/>
      <c r="AH660" s="36"/>
      <c r="AI660" s="36"/>
      <c r="AJ660" s="36"/>
      <c r="AK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AF661" s="36"/>
      <c r="AG661" s="36"/>
      <c r="AH661" s="36"/>
      <c r="AI661" s="36"/>
      <c r="AJ661" s="36"/>
      <c r="AK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AF662" s="36"/>
      <c r="AG662" s="36"/>
      <c r="AH662" s="36"/>
      <c r="AI662" s="36"/>
      <c r="AJ662" s="36"/>
      <c r="AK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AF663" s="36"/>
      <c r="AG663" s="36"/>
      <c r="AH663" s="36"/>
      <c r="AI663" s="36"/>
      <c r="AJ663" s="36"/>
      <c r="AK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AF664" s="36"/>
      <c r="AG664" s="36"/>
      <c r="AH664" s="36"/>
      <c r="AI664" s="36"/>
      <c r="AJ664" s="36"/>
      <c r="AK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AF665" s="36"/>
      <c r="AG665" s="36"/>
      <c r="AH665" s="36"/>
      <c r="AI665" s="36"/>
      <c r="AJ665" s="36"/>
      <c r="AK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AF666" s="36"/>
      <c r="AG666" s="36"/>
      <c r="AH666" s="36"/>
      <c r="AI666" s="36"/>
      <c r="AJ666" s="36"/>
      <c r="AK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AF667" s="36"/>
      <c r="AG667" s="36"/>
      <c r="AH667" s="36"/>
      <c r="AI667" s="36"/>
      <c r="AJ667" s="36"/>
      <c r="AK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AF668" s="36"/>
      <c r="AG668" s="36"/>
      <c r="AH668" s="36"/>
      <c r="AI668" s="36"/>
      <c r="AJ668" s="36"/>
      <c r="AK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AF669" s="36"/>
      <c r="AG669" s="36"/>
      <c r="AH669" s="36"/>
      <c r="AI669" s="36"/>
      <c r="AJ669" s="36"/>
      <c r="AK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AF670" s="36"/>
      <c r="AG670" s="36"/>
      <c r="AH670" s="36"/>
      <c r="AI670" s="36"/>
      <c r="AJ670" s="36"/>
      <c r="AK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AF671" s="36"/>
      <c r="AG671" s="36"/>
      <c r="AH671" s="36"/>
      <c r="AI671" s="36"/>
      <c r="AJ671" s="36"/>
      <c r="AK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AF672" s="36"/>
      <c r="AG672" s="36"/>
      <c r="AH672" s="36"/>
      <c r="AI672" s="36"/>
      <c r="AJ672" s="36"/>
      <c r="AK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AF673" s="36"/>
      <c r="AG673" s="36"/>
      <c r="AH673" s="36"/>
      <c r="AI673" s="36"/>
      <c r="AJ673" s="36"/>
      <c r="AK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AF674" s="36"/>
      <c r="AG674" s="36"/>
      <c r="AH674" s="36"/>
      <c r="AI674" s="36"/>
      <c r="AJ674" s="36"/>
      <c r="AK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AF675" s="36"/>
      <c r="AG675" s="36"/>
      <c r="AH675" s="36"/>
      <c r="AI675" s="36"/>
      <c r="AJ675" s="36"/>
      <c r="AK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AF676" s="36"/>
      <c r="AG676" s="36"/>
      <c r="AH676" s="36"/>
      <c r="AI676" s="36"/>
      <c r="AJ676" s="36"/>
      <c r="AK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AF677" s="36"/>
      <c r="AG677" s="36"/>
      <c r="AH677" s="36"/>
      <c r="AI677" s="36"/>
      <c r="AJ677" s="36"/>
      <c r="AK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AF678" s="36"/>
      <c r="AG678" s="36"/>
      <c r="AH678" s="36"/>
      <c r="AI678" s="36"/>
      <c r="AJ678" s="36"/>
      <c r="AK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AF679" s="36"/>
      <c r="AG679" s="36"/>
      <c r="AH679" s="36"/>
      <c r="AI679" s="36"/>
      <c r="AJ679" s="36"/>
      <c r="AK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AF680" s="36"/>
      <c r="AG680" s="36"/>
      <c r="AH680" s="36"/>
      <c r="AI680" s="36"/>
      <c r="AJ680" s="36"/>
      <c r="AK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AF681" s="36"/>
      <c r="AG681" s="36"/>
      <c r="AH681" s="36"/>
      <c r="AI681" s="36"/>
      <c r="AJ681" s="36"/>
      <c r="AK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AF682" s="36"/>
      <c r="AG682" s="36"/>
      <c r="AH682" s="36"/>
      <c r="AI682" s="36"/>
      <c r="AJ682" s="36"/>
      <c r="AK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AF683" s="36"/>
      <c r="AG683" s="36"/>
      <c r="AH683" s="36"/>
      <c r="AI683" s="36"/>
      <c r="AJ683" s="36"/>
      <c r="AK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AF684" s="36"/>
      <c r="AG684" s="36"/>
      <c r="AH684" s="36"/>
      <c r="AI684" s="36"/>
      <c r="AJ684" s="36"/>
      <c r="AK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AF685" s="36"/>
      <c r="AG685" s="36"/>
      <c r="AH685" s="36"/>
      <c r="AI685" s="36"/>
      <c r="AJ685" s="36"/>
      <c r="AK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AF686" s="36"/>
      <c r="AG686" s="36"/>
      <c r="AH686" s="36"/>
      <c r="AI686" s="36"/>
      <c r="AJ686" s="36"/>
      <c r="AK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AF687" s="36"/>
      <c r="AG687" s="36"/>
      <c r="AH687" s="36"/>
      <c r="AI687" s="36"/>
      <c r="AJ687" s="36"/>
      <c r="AK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AF688" s="36"/>
      <c r="AG688" s="36"/>
      <c r="AH688" s="36"/>
      <c r="AI688" s="36"/>
      <c r="AJ688" s="36"/>
      <c r="AK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AF689" s="36"/>
      <c r="AG689" s="36"/>
      <c r="AH689" s="36"/>
      <c r="AI689" s="36"/>
      <c r="AJ689" s="36"/>
      <c r="AK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AF690" s="36"/>
      <c r="AG690" s="36"/>
      <c r="AH690" s="36"/>
      <c r="AI690" s="36"/>
      <c r="AJ690" s="36"/>
      <c r="AK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AF691" s="36"/>
      <c r="AG691" s="36"/>
      <c r="AH691" s="36"/>
      <c r="AI691" s="36"/>
      <c r="AJ691" s="36"/>
      <c r="AK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AF692" s="36"/>
      <c r="AG692" s="36"/>
      <c r="AH692" s="36"/>
      <c r="AI692" s="36"/>
      <c r="AJ692" s="36"/>
      <c r="AK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AF693" s="36"/>
      <c r="AG693" s="36"/>
      <c r="AH693" s="36"/>
      <c r="AI693" s="36"/>
      <c r="AJ693" s="36"/>
      <c r="AK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AF694" s="36"/>
      <c r="AG694" s="36"/>
      <c r="AH694" s="36"/>
      <c r="AI694" s="36"/>
      <c r="AJ694" s="36"/>
      <c r="AK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AF695" s="36"/>
      <c r="AG695" s="36"/>
      <c r="AH695" s="36"/>
      <c r="AI695" s="36"/>
      <c r="AJ695" s="36"/>
      <c r="AK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AF696" s="36"/>
      <c r="AG696" s="36"/>
      <c r="AH696" s="36"/>
      <c r="AI696" s="36"/>
      <c r="AJ696" s="36"/>
      <c r="AK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AF697" s="36"/>
      <c r="AG697" s="36"/>
      <c r="AH697" s="36"/>
      <c r="AI697" s="36"/>
      <c r="AJ697" s="36"/>
      <c r="AK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AF698" s="36"/>
      <c r="AG698" s="36"/>
      <c r="AH698" s="36"/>
      <c r="AI698" s="36"/>
      <c r="AJ698" s="36"/>
      <c r="AK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AF699" s="36"/>
      <c r="AG699" s="36"/>
      <c r="AH699" s="36"/>
      <c r="AI699" s="36"/>
      <c r="AJ699" s="36"/>
      <c r="AK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AF700" s="36"/>
      <c r="AG700" s="36"/>
      <c r="AH700" s="36"/>
      <c r="AI700" s="36"/>
      <c r="AJ700" s="36"/>
      <c r="AK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AF701" s="36"/>
      <c r="AG701" s="36"/>
      <c r="AH701" s="36"/>
      <c r="AI701" s="36"/>
      <c r="AJ701" s="36"/>
      <c r="AK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AF702" s="36"/>
      <c r="AG702" s="36"/>
      <c r="AH702" s="36"/>
      <c r="AI702" s="36"/>
      <c r="AJ702" s="36"/>
      <c r="AK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AF703" s="36"/>
      <c r="AG703" s="36"/>
      <c r="AH703" s="36"/>
      <c r="AI703" s="36"/>
      <c r="AJ703" s="36"/>
      <c r="AK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AF704" s="36"/>
      <c r="AG704" s="36"/>
      <c r="AH704" s="36"/>
      <c r="AI704" s="36"/>
      <c r="AJ704" s="36"/>
      <c r="AK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AF705" s="36"/>
      <c r="AG705" s="36"/>
      <c r="AH705" s="36"/>
      <c r="AI705" s="36"/>
      <c r="AJ705" s="36"/>
      <c r="AK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AF706" s="36"/>
      <c r="AG706" s="36"/>
      <c r="AH706" s="36"/>
      <c r="AI706" s="36"/>
      <c r="AJ706" s="36"/>
      <c r="AK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AF707" s="36"/>
      <c r="AG707" s="36"/>
      <c r="AH707" s="36"/>
      <c r="AI707" s="36"/>
      <c r="AJ707" s="36"/>
      <c r="AK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AF708" s="36"/>
      <c r="AG708" s="36"/>
      <c r="AH708" s="36"/>
      <c r="AI708" s="36"/>
      <c r="AJ708" s="36"/>
      <c r="AK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AF709" s="36"/>
      <c r="AG709" s="36"/>
      <c r="AH709" s="36"/>
      <c r="AI709" s="36"/>
      <c r="AJ709" s="36"/>
      <c r="AK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AF710" s="36"/>
      <c r="AG710" s="36"/>
      <c r="AH710" s="36"/>
      <c r="AI710" s="36"/>
      <c r="AJ710" s="36"/>
      <c r="AK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AF711" s="36"/>
      <c r="AG711" s="36"/>
      <c r="AH711" s="36"/>
      <c r="AI711" s="36"/>
      <c r="AJ711" s="36"/>
      <c r="AK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AF712" s="36"/>
      <c r="AG712" s="36"/>
      <c r="AH712" s="36"/>
      <c r="AI712" s="36"/>
      <c r="AJ712" s="36"/>
      <c r="AK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AF713" s="36"/>
      <c r="AG713" s="36"/>
      <c r="AH713" s="36"/>
      <c r="AI713" s="36"/>
      <c r="AJ713" s="36"/>
      <c r="AK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AF714" s="36"/>
      <c r="AG714" s="36"/>
      <c r="AH714" s="36"/>
      <c r="AI714" s="36"/>
      <c r="AJ714" s="36"/>
      <c r="AK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AF715" s="36"/>
      <c r="AG715" s="36"/>
      <c r="AH715" s="36"/>
      <c r="AI715" s="36"/>
      <c r="AJ715" s="36"/>
      <c r="AK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AF716" s="36"/>
      <c r="AG716" s="36"/>
      <c r="AH716" s="36"/>
      <c r="AI716" s="36"/>
      <c r="AJ716" s="36"/>
      <c r="AK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AF717" s="36"/>
      <c r="AG717" s="36"/>
      <c r="AH717" s="36"/>
      <c r="AI717" s="36"/>
      <c r="AJ717" s="36"/>
      <c r="AK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AF718" s="36"/>
      <c r="AG718" s="36"/>
      <c r="AH718" s="36"/>
      <c r="AI718" s="36"/>
      <c r="AJ718" s="36"/>
      <c r="AK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AF719" s="36"/>
      <c r="AG719" s="36"/>
      <c r="AH719" s="36"/>
      <c r="AI719" s="36"/>
      <c r="AJ719" s="36"/>
      <c r="AK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AF720" s="36"/>
      <c r="AG720" s="36"/>
      <c r="AH720" s="36"/>
      <c r="AI720" s="36"/>
      <c r="AJ720" s="36"/>
      <c r="AK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AF721" s="36"/>
      <c r="AG721" s="36"/>
      <c r="AH721" s="36"/>
      <c r="AI721" s="36"/>
      <c r="AJ721" s="36"/>
      <c r="AK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AF722" s="36"/>
      <c r="AG722" s="36"/>
      <c r="AH722" s="36"/>
      <c r="AI722" s="36"/>
      <c r="AJ722" s="36"/>
      <c r="AK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AF723" s="36"/>
      <c r="AG723" s="36"/>
      <c r="AH723" s="36"/>
      <c r="AI723" s="36"/>
      <c r="AJ723" s="36"/>
      <c r="AK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AF724" s="36"/>
      <c r="AG724" s="36"/>
      <c r="AH724" s="36"/>
      <c r="AI724" s="36"/>
      <c r="AJ724" s="36"/>
      <c r="AK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AF725" s="36"/>
      <c r="AG725" s="36"/>
      <c r="AH725" s="36"/>
      <c r="AI725" s="36"/>
      <c r="AJ725" s="36"/>
      <c r="AK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AF726" s="36"/>
      <c r="AG726" s="36"/>
      <c r="AH726" s="36"/>
      <c r="AI726" s="36"/>
      <c r="AJ726" s="36"/>
      <c r="AK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AF727" s="36"/>
      <c r="AG727" s="36"/>
      <c r="AH727" s="36"/>
      <c r="AI727" s="36"/>
      <c r="AJ727" s="36"/>
      <c r="AK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AF728" s="36"/>
      <c r="AG728" s="36"/>
      <c r="AH728" s="36"/>
      <c r="AI728" s="36"/>
      <c r="AJ728" s="36"/>
      <c r="AK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AF729" s="36"/>
      <c r="AG729" s="36"/>
      <c r="AH729" s="36"/>
      <c r="AI729" s="36"/>
      <c r="AJ729" s="36"/>
      <c r="AK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AF730" s="36"/>
      <c r="AG730" s="36"/>
      <c r="AH730" s="36"/>
      <c r="AI730" s="36"/>
      <c r="AJ730" s="36"/>
      <c r="AK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AF731" s="36"/>
      <c r="AG731" s="36"/>
      <c r="AH731" s="36"/>
      <c r="AI731" s="36"/>
      <c r="AJ731" s="36"/>
      <c r="AK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AF732" s="36"/>
      <c r="AG732" s="36"/>
      <c r="AH732" s="36"/>
      <c r="AI732" s="36"/>
      <c r="AJ732" s="36"/>
      <c r="AK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AF733" s="36"/>
      <c r="AG733" s="36"/>
      <c r="AH733" s="36"/>
      <c r="AI733" s="36"/>
      <c r="AJ733" s="36"/>
      <c r="AK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AF734" s="36"/>
      <c r="AG734" s="36"/>
      <c r="AH734" s="36"/>
      <c r="AI734" s="36"/>
      <c r="AJ734" s="36"/>
      <c r="AK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AF735" s="36"/>
      <c r="AG735" s="36"/>
      <c r="AH735" s="36"/>
      <c r="AI735" s="36"/>
      <c r="AJ735" s="36"/>
      <c r="AK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AF736" s="36"/>
      <c r="AG736" s="36"/>
      <c r="AH736" s="36"/>
      <c r="AI736" s="36"/>
      <c r="AJ736" s="36"/>
      <c r="AK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AF737" s="36"/>
      <c r="AG737" s="36"/>
      <c r="AH737" s="36"/>
      <c r="AI737" s="36"/>
      <c r="AJ737" s="36"/>
      <c r="AK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AF738" s="36"/>
      <c r="AG738" s="36"/>
      <c r="AH738" s="36"/>
      <c r="AI738" s="36"/>
      <c r="AJ738" s="36"/>
      <c r="AK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AF739" s="36"/>
      <c r="AG739" s="36"/>
      <c r="AH739" s="36"/>
      <c r="AI739" s="36"/>
      <c r="AJ739" s="36"/>
      <c r="AK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AF740" s="36"/>
      <c r="AG740" s="36"/>
      <c r="AH740" s="36"/>
      <c r="AI740" s="36"/>
      <c r="AJ740" s="36"/>
      <c r="A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AF741" s="36"/>
      <c r="AG741" s="36"/>
      <c r="AH741" s="36"/>
      <c r="AI741" s="36"/>
      <c r="AJ741" s="36"/>
      <c r="A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AF742" s="36"/>
      <c r="AG742" s="36"/>
      <c r="AH742" s="36"/>
      <c r="AI742" s="36"/>
      <c r="AJ742" s="36"/>
      <c r="A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AF743" s="36"/>
      <c r="AG743" s="36"/>
      <c r="AH743" s="36"/>
      <c r="AI743" s="36"/>
      <c r="AJ743" s="36"/>
      <c r="A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AF744" s="36"/>
      <c r="AG744" s="36"/>
      <c r="AH744" s="36"/>
      <c r="AI744" s="36"/>
      <c r="AJ744" s="36"/>
      <c r="A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AF745" s="36"/>
      <c r="AG745" s="36"/>
      <c r="AH745" s="36"/>
      <c r="AI745" s="36"/>
      <c r="AJ745" s="36"/>
      <c r="A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AF746" s="36"/>
      <c r="AG746" s="36"/>
      <c r="AH746" s="36"/>
      <c r="AI746" s="36"/>
      <c r="AJ746" s="36"/>
      <c r="A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AF747" s="36"/>
      <c r="AG747" s="36"/>
      <c r="AH747" s="36"/>
      <c r="AI747" s="36"/>
      <c r="AJ747" s="36"/>
      <c r="A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AF748" s="36"/>
      <c r="AG748" s="36"/>
      <c r="AH748" s="36"/>
      <c r="AI748" s="36"/>
      <c r="AJ748" s="36"/>
      <c r="A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AF749" s="36"/>
      <c r="AG749" s="36"/>
      <c r="AH749" s="36"/>
      <c r="AI749" s="36"/>
      <c r="AJ749" s="36"/>
      <c r="A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AF750" s="36"/>
      <c r="AG750" s="36"/>
      <c r="AH750" s="36"/>
      <c r="AI750" s="36"/>
      <c r="AJ750" s="36"/>
      <c r="A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AF751" s="36"/>
      <c r="AG751" s="36"/>
      <c r="AH751" s="36"/>
      <c r="AI751" s="36"/>
      <c r="AJ751" s="36"/>
      <c r="A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AF752" s="36"/>
      <c r="AG752" s="36"/>
      <c r="AH752" s="36"/>
      <c r="AI752" s="36"/>
      <c r="AJ752" s="36"/>
      <c r="A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AF753" s="36"/>
      <c r="AG753" s="36"/>
      <c r="AH753" s="36"/>
      <c r="AI753" s="36"/>
      <c r="AJ753" s="36"/>
      <c r="A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AF754" s="36"/>
      <c r="AG754" s="36"/>
      <c r="AH754" s="36"/>
      <c r="AI754" s="36"/>
      <c r="AJ754" s="36"/>
      <c r="A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AF755" s="36"/>
      <c r="AG755" s="36"/>
      <c r="AH755" s="36"/>
      <c r="AI755" s="36"/>
      <c r="AJ755" s="36"/>
      <c r="A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AF756" s="36"/>
      <c r="AG756" s="36"/>
      <c r="AH756" s="36"/>
      <c r="AI756" s="36"/>
      <c r="AJ756" s="36"/>
      <c r="A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AF757" s="36"/>
      <c r="AG757" s="36"/>
      <c r="AH757" s="36"/>
      <c r="AI757" s="36"/>
      <c r="AJ757" s="36"/>
      <c r="A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AF758" s="36"/>
      <c r="AG758" s="36"/>
      <c r="AH758" s="36"/>
      <c r="AI758" s="36"/>
      <c r="AJ758" s="36"/>
      <c r="A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AF759" s="36"/>
      <c r="AG759" s="36"/>
      <c r="AH759" s="36"/>
      <c r="AI759" s="36"/>
      <c r="AJ759" s="36"/>
      <c r="A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AF760" s="36"/>
      <c r="AG760" s="36"/>
      <c r="AH760" s="36"/>
      <c r="AI760" s="36"/>
      <c r="AJ760" s="36"/>
      <c r="A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AF761" s="36"/>
      <c r="AG761" s="36"/>
      <c r="AH761" s="36"/>
      <c r="AI761" s="36"/>
      <c r="AJ761" s="36"/>
      <c r="A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AF762" s="36"/>
      <c r="AG762" s="36"/>
      <c r="AH762" s="36"/>
      <c r="AI762" s="36"/>
      <c r="AJ762" s="36"/>
      <c r="A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AF763" s="36"/>
      <c r="AG763" s="36"/>
      <c r="AH763" s="36"/>
      <c r="AI763" s="36"/>
      <c r="AJ763" s="36"/>
      <c r="A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AF764" s="36"/>
      <c r="AG764" s="36"/>
      <c r="AH764" s="36"/>
      <c r="AI764" s="36"/>
      <c r="AJ764" s="36"/>
      <c r="A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AF765" s="36"/>
      <c r="AG765" s="36"/>
      <c r="AH765" s="36"/>
      <c r="AI765" s="36"/>
      <c r="AJ765" s="36"/>
      <c r="A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AF766" s="36"/>
      <c r="AG766" s="36"/>
      <c r="AH766" s="36"/>
      <c r="AI766" s="36"/>
      <c r="AJ766" s="36"/>
      <c r="A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AF767" s="36"/>
      <c r="AG767" s="36"/>
      <c r="AH767" s="36"/>
      <c r="AI767" s="36"/>
      <c r="AJ767" s="36"/>
      <c r="A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AF768" s="36"/>
      <c r="AG768" s="36"/>
      <c r="AH768" s="36"/>
      <c r="AI768" s="36"/>
      <c r="AJ768" s="36"/>
      <c r="A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AF769" s="36"/>
      <c r="AG769" s="36"/>
      <c r="AH769" s="36"/>
      <c r="AI769" s="36"/>
      <c r="AJ769" s="36"/>
      <c r="A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AF770" s="36"/>
      <c r="AG770" s="36"/>
      <c r="AH770" s="36"/>
      <c r="AI770" s="36"/>
      <c r="AJ770" s="36"/>
      <c r="A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AF771" s="36"/>
      <c r="AG771" s="36"/>
      <c r="AH771" s="36"/>
      <c r="AI771" s="36"/>
      <c r="AJ771" s="36"/>
      <c r="A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AF772" s="36"/>
      <c r="AG772" s="36"/>
      <c r="AH772" s="36"/>
      <c r="AI772" s="36"/>
      <c r="AJ772" s="36"/>
      <c r="A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AF773" s="36"/>
      <c r="AG773" s="36"/>
      <c r="AH773" s="36"/>
      <c r="AI773" s="36"/>
      <c r="AJ773" s="36"/>
      <c r="A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AF774" s="36"/>
      <c r="AG774" s="36"/>
      <c r="AH774" s="36"/>
      <c r="AI774" s="36"/>
      <c r="AJ774" s="36"/>
      <c r="A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AF775" s="36"/>
      <c r="AG775" s="36"/>
      <c r="AH775" s="36"/>
      <c r="AI775" s="36"/>
      <c r="AJ775" s="36"/>
      <c r="A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AF776" s="36"/>
      <c r="AG776" s="36"/>
      <c r="AH776" s="36"/>
      <c r="AI776" s="36"/>
      <c r="AJ776" s="36"/>
      <c r="A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AF777" s="36"/>
      <c r="AG777" s="36"/>
      <c r="AH777" s="36"/>
      <c r="AI777" s="36"/>
      <c r="AJ777" s="36"/>
      <c r="A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AF778" s="36"/>
      <c r="AG778" s="36"/>
      <c r="AH778" s="36"/>
      <c r="AI778" s="36"/>
      <c r="AJ778" s="36"/>
      <c r="A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AF779" s="36"/>
      <c r="AG779" s="36"/>
      <c r="AH779" s="36"/>
      <c r="AI779" s="36"/>
      <c r="AJ779" s="36"/>
      <c r="A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AF780" s="36"/>
      <c r="AG780" s="36"/>
      <c r="AH780" s="36"/>
      <c r="AI780" s="36"/>
      <c r="AJ780" s="36"/>
      <c r="A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AF781" s="36"/>
      <c r="AG781" s="36"/>
      <c r="AH781" s="36"/>
      <c r="AI781" s="36"/>
      <c r="AJ781" s="36"/>
      <c r="A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AF782" s="36"/>
      <c r="AG782" s="36"/>
      <c r="AH782" s="36"/>
      <c r="AI782" s="36"/>
      <c r="AJ782" s="36"/>
      <c r="A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AF783" s="36"/>
      <c r="AG783" s="36"/>
      <c r="AH783" s="36"/>
      <c r="AI783" s="36"/>
      <c r="AJ783" s="36"/>
      <c r="A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AF784" s="36"/>
      <c r="AG784" s="36"/>
      <c r="AH784" s="36"/>
      <c r="AI784" s="36"/>
      <c r="AJ784" s="36"/>
      <c r="A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AF785" s="36"/>
      <c r="AG785" s="36"/>
      <c r="AH785" s="36"/>
      <c r="AI785" s="36"/>
      <c r="AJ785" s="36"/>
      <c r="A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AF786" s="36"/>
      <c r="AG786" s="36"/>
      <c r="AH786" s="36"/>
      <c r="AI786" s="36"/>
      <c r="AJ786" s="36"/>
      <c r="A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AF787" s="36"/>
      <c r="AG787" s="36"/>
      <c r="AH787" s="36"/>
      <c r="AI787" s="36"/>
      <c r="AJ787" s="36"/>
      <c r="A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AF788" s="36"/>
      <c r="AG788" s="36"/>
      <c r="AH788" s="36"/>
      <c r="AI788" s="36"/>
      <c r="AJ788" s="36"/>
      <c r="A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AF789" s="36"/>
      <c r="AG789" s="36"/>
      <c r="AH789" s="36"/>
      <c r="AI789" s="36"/>
      <c r="AJ789" s="36"/>
      <c r="A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AF790" s="36"/>
      <c r="AG790" s="36"/>
      <c r="AH790" s="36"/>
      <c r="AI790" s="36"/>
      <c r="AJ790" s="36"/>
      <c r="A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AF791" s="36"/>
      <c r="AG791" s="36"/>
      <c r="AH791" s="36"/>
      <c r="AI791" s="36"/>
      <c r="AJ791" s="36"/>
      <c r="A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AF792" s="36"/>
      <c r="AG792" s="36"/>
      <c r="AH792" s="36"/>
      <c r="AI792" s="36"/>
      <c r="AJ792" s="36"/>
      <c r="A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AF793" s="36"/>
      <c r="AG793" s="36"/>
      <c r="AH793" s="36"/>
      <c r="AI793" s="36"/>
      <c r="AJ793" s="36"/>
      <c r="A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AF794" s="36"/>
      <c r="AG794" s="36"/>
      <c r="AH794" s="36"/>
      <c r="AI794" s="36"/>
      <c r="AJ794" s="36"/>
      <c r="A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AF795" s="36"/>
      <c r="AG795" s="36"/>
      <c r="AH795" s="36"/>
      <c r="AI795" s="36"/>
      <c r="AJ795" s="36"/>
      <c r="A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AF796" s="36"/>
      <c r="AG796" s="36"/>
      <c r="AH796" s="36"/>
      <c r="AI796" s="36"/>
      <c r="AJ796" s="36"/>
      <c r="A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AF797" s="36"/>
      <c r="AG797" s="36"/>
      <c r="AH797" s="36"/>
      <c r="AI797" s="36"/>
      <c r="AJ797" s="36"/>
      <c r="A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AF798" s="36"/>
      <c r="AG798" s="36"/>
      <c r="AH798" s="36"/>
      <c r="AI798" s="36"/>
      <c r="AJ798" s="36"/>
      <c r="A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AF799" s="36"/>
      <c r="AG799" s="36"/>
      <c r="AH799" s="36"/>
      <c r="AI799" s="36"/>
      <c r="AJ799" s="36"/>
      <c r="A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AF800" s="36"/>
      <c r="AG800" s="36"/>
      <c r="AH800" s="36"/>
      <c r="AI800" s="36"/>
      <c r="AJ800" s="36"/>
      <c r="A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AF801" s="36"/>
      <c r="AG801" s="36"/>
      <c r="AH801" s="36"/>
      <c r="AI801" s="36"/>
      <c r="AJ801" s="36"/>
      <c r="A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AF802" s="36"/>
      <c r="AG802" s="36"/>
      <c r="AH802" s="36"/>
      <c r="AI802" s="36"/>
      <c r="AJ802" s="36"/>
      <c r="A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AF803" s="36"/>
      <c r="AG803" s="36"/>
      <c r="AH803" s="36"/>
      <c r="AI803" s="36"/>
      <c r="AJ803" s="36"/>
      <c r="A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AF804" s="36"/>
      <c r="AG804" s="36"/>
      <c r="AH804" s="36"/>
      <c r="AI804" s="36"/>
      <c r="AJ804" s="36"/>
      <c r="A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AF805" s="36"/>
      <c r="AG805" s="36"/>
      <c r="AH805" s="36"/>
      <c r="AI805" s="36"/>
      <c r="AJ805" s="36"/>
      <c r="A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AF806" s="36"/>
      <c r="AG806" s="36"/>
      <c r="AH806" s="36"/>
      <c r="AI806" s="36"/>
      <c r="AJ806" s="36"/>
      <c r="A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AF807" s="36"/>
      <c r="AG807" s="36"/>
      <c r="AH807" s="36"/>
      <c r="AI807" s="36"/>
      <c r="AJ807" s="36"/>
      <c r="A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AF808" s="36"/>
      <c r="AG808" s="36"/>
      <c r="AH808" s="36"/>
      <c r="AI808" s="36"/>
      <c r="AJ808" s="36"/>
      <c r="A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AF809" s="36"/>
      <c r="AG809" s="36"/>
      <c r="AH809" s="36"/>
      <c r="AI809" s="36"/>
      <c r="AJ809" s="36"/>
      <c r="A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AF810" s="36"/>
      <c r="AG810" s="36"/>
      <c r="AH810" s="36"/>
      <c r="AI810" s="36"/>
      <c r="AJ810" s="36"/>
      <c r="A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AF811" s="36"/>
      <c r="AG811" s="36"/>
      <c r="AH811" s="36"/>
      <c r="AI811" s="36"/>
      <c r="AJ811" s="36"/>
      <c r="A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AF812" s="36"/>
      <c r="AG812" s="36"/>
      <c r="AH812" s="36"/>
      <c r="AI812" s="36"/>
      <c r="AJ812" s="36"/>
      <c r="A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AF813" s="36"/>
      <c r="AG813" s="36"/>
      <c r="AH813" s="36"/>
      <c r="AI813" s="36"/>
      <c r="AJ813" s="36"/>
      <c r="A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AF814" s="36"/>
      <c r="AG814" s="36"/>
      <c r="AH814" s="36"/>
      <c r="AI814" s="36"/>
      <c r="AJ814" s="36"/>
      <c r="A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AF815" s="36"/>
      <c r="AG815" s="36"/>
      <c r="AH815" s="36"/>
      <c r="AI815" s="36"/>
      <c r="AJ815" s="36"/>
      <c r="A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AF816" s="36"/>
      <c r="AG816" s="36"/>
      <c r="AH816" s="36"/>
      <c r="AI816" s="36"/>
      <c r="AJ816" s="36"/>
      <c r="A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AF817" s="36"/>
      <c r="AG817" s="36"/>
      <c r="AH817" s="36"/>
      <c r="AI817" s="36"/>
      <c r="AJ817" s="36"/>
      <c r="A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AF818" s="36"/>
      <c r="AG818" s="36"/>
      <c r="AH818" s="36"/>
      <c r="AI818" s="36"/>
      <c r="AJ818" s="36"/>
      <c r="A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AF819" s="36"/>
      <c r="AG819" s="36"/>
      <c r="AH819" s="36"/>
      <c r="AI819" s="36"/>
      <c r="AJ819" s="36"/>
      <c r="A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AF820" s="36"/>
      <c r="AG820" s="36"/>
      <c r="AH820" s="36"/>
      <c r="AI820" s="36"/>
      <c r="AJ820" s="36"/>
      <c r="A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AF821" s="36"/>
      <c r="AG821" s="36"/>
      <c r="AH821" s="36"/>
      <c r="AI821" s="36"/>
      <c r="AJ821" s="36"/>
      <c r="A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AF822" s="36"/>
      <c r="AG822" s="36"/>
      <c r="AH822" s="36"/>
      <c r="AI822" s="36"/>
      <c r="AJ822" s="36"/>
      <c r="A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AF823" s="36"/>
      <c r="AG823" s="36"/>
      <c r="AH823" s="36"/>
      <c r="AI823" s="36"/>
      <c r="AJ823" s="36"/>
      <c r="A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AF824" s="36"/>
      <c r="AG824" s="36"/>
      <c r="AH824" s="36"/>
      <c r="AI824" s="36"/>
      <c r="AJ824" s="36"/>
      <c r="A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AF825" s="36"/>
      <c r="AG825" s="36"/>
      <c r="AH825" s="36"/>
      <c r="AI825" s="36"/>
      <c r="AJ825" s="36"/>
      <c r="A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AF826" s="36"/>
      <c r="AG826" s="36"/>
      <c r="AH826" s="36"/>
      <c r="AI826" s="36"/>
      <c r="AJ826" s="36"/>
      <c r="A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AF827" s="36"/>
      <c r="AG827" s="36"/>
      <c r="AH827" s="36"/>
      <c r="AI827" s="36"/>
      <c r="AJ827" s="36"/>
      <c r="A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AF828" s="36"/>
      <c r="AG828" s="36"/>
      <c r="AH828" s="36"/>
      <c r="AI828" s="36"/>
      <c r="AJ828" s="36"/>
      <c r="A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AF829" s="36"/>
      <c r="AG829" s="36"/>
      <c r="AH829" s="36"/>
      <c r="AI829" s="36"/>
      <c r="AJ829" s="36"/>
      <c r="A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AF830" s="36"/>
      <c r="AG830" s="36"/>
      <c r="AH830" s="36"/>
      <c r="AI830" s="36"/>
      <c r="AJ830" s="36"/>
      <c r="A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AF831" s="36"/>
      <c r="AG831" s="36"/>
      <c r="AH831" s="36"/>
      <c r="AI831" s="36"/>
      <c r="AJ831" s="36"/>
      <c r="A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AF832" s="36"/>
      <c r="AG832" s="36"/>
      <c r="AH832" s="36"/>
      <c r="AI832" s="36"/>
      <c r="AJ832" s="36"/>
      <c r="A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AF833" s="36"/>
      <c r="AG833" s="36"/>
      <c r="AH833" s="36"/>
      <c r="AI833" s="36"/>
      <c r="AJ833" s="36"/>
      <c r="A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AF834" s="36"/>
      <c r="AG834" s="36"/>
      <c r="AH834" s="36"/>
      <c r="AI834" s="36"/>
      <c r="AJ834" s="36"/>
      <c r="A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AF835" s="36"/>
      <c r="AG835" s="36"/>
      <c r="AH835" s="36"/>
      <c r="AI835" s="36"/>
      <c r="AJ835" s="36"/>
      <c r="A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AF836" s="36"/>
      <c r="AG836" s="36"/>
      <c r="AH836" s="36"/>
      <c r="AI836" s="36"/>
      <c r="AJ836" s="36"/>
      <c r="A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AF837" s="36"/>
      <c r="AG837" s="36"/>
      <c r="AH837" s="36"/>
      <c r="AI837" s="36"/>
      <c r="AJ837" s="36"/>
      <c r="A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AF838" s="36"/>
      <c r="AG838" s="36"/>
      <c r="AH838" s="36"/>
      <c r="AI838" s="36"/>
      <c r="AJ838" s="36"/>
      <c r="A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AF839" s="36"/>
      <c r="AG839" s="36"/>
      <c r="AH839" s="36"/>
      <c r="AI839" s="36"/>
      <c r="AJ839" s="36"/>
      <c r="A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AF840" s="36"/>
      <c r="AG840" s="36"/>
      <c r="AH840" s="36"/>
      <c r="AI840" s="36"/>
      <c r="AJ840" s="36"/>
      <c r="A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AF841" s="36"/>
      <c r="AG841" s="36"/>
      <c r="AH841" s="36"/>
      <c r="AI841" s="36"/>
      <c r="AJ841" s="36"/>
      <c r="A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AF842" s="36"/>
      <c r="AG842" s="36"/>
      <c r="AH842" s="36"/>
      <c r="AI842" s="36"/>
      <c r="AJ842" s="36"/>
      <c r="A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AF843" s="36"/>
      <c r="AG843" s="36"/>
      <c r="AH843" s="36"/>
      <c r="AI843" s="36"/>
      <c r="AJ843" s="36"/>
      <c r="A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AF844" s="36"/>
      <c r="AG844" s="36"/>
      <c r="AH844" s="36"/>
      <c r="AI844" s="36"/>
      <c r="AJ844" s="36"/>
      <c r="A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AF845" s="36"/>
      <c r="AG845" s="36"/>
      <c r="AH845" s="36"/>
      <c r="AI845" s="36"/>
      <c r="AJ845" s="36"/>
      <c r="A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AF846" s="36"/>
      <c r="AG846" s="36"/>
      <c r="AH846" s="36"/>
      <c r="AI846" s="36"/>
      <c r="AJ846" s="36"/>
      <c r="A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AF847" s="36"/>
      <c r="AG847" s="36"/>
      <c r="AH847" s="36"/>
      <c r="AI847" s="36"/>
      <c r="AJ847" s="36"/>
      <c r="A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AF848" s="36"/>
      <c r="AG848" s="36"/>
      <c r="AH848" s="36"/>
      <c r="AI848" s="36"/>
      <c r="AJ848" s="36"/>
      <c r="A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AF849" s="36"/>
      <c r="AG849" s="36"/>
      <c r="AH849" s="36"/>
      <c r="AI849" s="36"/>
      <c r="AJ849" s="36"/>
      <c r="A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AF850" s="36"/>
      <c r="AG850" s="36"/>
      <c r="AH850" s="36"/>
      <c r="AI850" s="36"/>
      <c r="AJ850" s="36"/>
      <c r="A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AF851" s="36"/>
      <c r="AG851" s="36"/>
      <c r="AH851" s="36"/>
      <c r="AI851" s="36"/>
      <c r="AJ851" s="36"/>
      <c r="A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AF852" s="36"/>
      <c r="AG852" s="36"/>
      <c r="AH852" s="36"/>
      <c r="AI852" s="36"/>
      <c r="AJ852" s="36"/>
      <c r="A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AF853" s="36"/>
      <c r="AG853" s="36"/>
      <c r="AH853" s="36"/>
      <c r="AI853" s="36"/>
      <c r="AJ853" s="36"/>
      <c r="A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AF854" s="36"/>
      <c r="AG854" s="36"/>
      <c r="AH854" s="36"/>
      <c r="AI854" s="36"/>
      <c r="AJ854" s="36"/>
      <c r="A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AF855" s="36"/>
      <c r="AG855" s="36"/>
      <c r="AH855" s="36"/>
      <c r="AI855" s="36"/>
      <c r="AJ855" s="36"/>
      <c r="A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AF856" s="36"/>
      <c r="AG856" s="36"/>
      <c r="AH856" s="36"/>
      <c r="AI856" s="36"/>
      <c r="AJ856" s="36"/>
      <c r="A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AF857" s="36"/>
      <c r="AG857" s="36"/>
      <c r="AH857" s="36"/>
      <c r="AI857" s="36"/>
      <c r="AJ857" s="36"/>
      <c r="A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AF858" s="36"/>
      <c r="AG858" s="36"/>
      <c r="AH858" s="36"/>
      <c r="AI858" s="36"/>
      <c r="AJ858" s="36"/>
      <c r="A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AF859" s="36"/>
      <c r="AG859" s="36"/>
      <c r="AH859" s="36"/>
      <c r="AI859" s="36"/>
      <c r="AJ859" s="36"/>
      <c r="A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AF860" s="36"/>
      <c r="AG860" s="36"/>
      <c r="AH860" s="36"/>
      <c r="AI860" s="36"/>
      <c r="AJ860" s="36"/>
      <c r="A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AF861" s="36"/>
      <c r="AG861" s="36"/>
      <c r="AH861" s="36"/>
      <c r="AI861" s="36"/>
      <c r="AJ861" s="36"/>
      <c r="A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AF862" s="36"/>
      <c r="AG862" s="36"/>
      <c r="AH862" s="36"/>
      <c r="AI862" s="36"/>
      <c r="AJ862" s="36"/>
      <c r="A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AF863" s="36"/>
      <c r="AG863" s="36"/>
      <c r="AH863" s="36"/>
      <c r="AI863" s="36"/>
      <c r="AJ863" s="36"/>
      <c r="A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AF864" s="36"/>
      <c r="AG864" s="36"/>
      <c r="AH864" s="36"/>
      <c r="AI864" s="36"/>
      <c r="AJ864" s="36"/>
      <c r="A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AF865" s="36"/>
      <c r="AG865" s="36"/>
      <c r="AH865" s="36"/>
      <c r="AI865" s="36"/>
      <c r="AJ865" s="36"/>
      <c r="A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AF866" s="36"/>
      <c r="AG866" s="36"/>
      <c r="AH866" s="36"/>
      <c r="AI866" s="36"/>
      <c r="AJ866" s="36"/>
      <c r="A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AF867" s="36"/>
      <c r="AG867" s="36"/>
      <c r="AH867" s="36"/>
      <c r="AI867" s="36"/>
      <c r="AJ867" s="36"/>
      <c r="A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AF868" s="36"/>
      <c r="AG868" s="36"/>
      <c r="AH868" s="36"/>
      <c r="AI868" s="36"/>
      <c r="AJ868" s="36"/>
      <c r="A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AF869" s="36"/>
      <c r="AG869" s="36"/>
      <c r="AH869" s="36"/>
      <c r="AI869" s="36"/>
      <c r="AJ869" s="36"/>
      <c r="A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AF870" s="36"/>
      <c r="AG870" s="36"/>
      <c r="AH870" s="36"/>
      <c r="AI870" s="36"/>
      <c r="AJ870" s="36"/>
      <c r="A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AF871" s="36"/>
      <c r="AG871" s="36"/>
      <c r="AH871" s="36"/>
      <c r="AI871" s="36"/>
      <c r="AJ871" s="36"/>
      <c r="A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AF872" s="36"/>
      <c r="AG872" s="36"/>
      <c r="AH872" s="36"/>
      <c r="AI872" s="36"/>
      <c r="AJ872" s="36"/>
      <c r="A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AF873" s="36"/>
      <c r="AG873" s="36"/>
      <c r="AH873" s="36"/>
      <c r="AI873" s="36"/>
      <c r="AJ873" s="36"/>
      <c r="A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AF874" s="36"/>
      <c r="AG874" s="36"/>
      <c r="AH874" s="36"/>
      <c r="AI874" s="36"/>
      <c r="AJ874" s="36"/>
      <c r="A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AF875" s="36"/>
      <c r="AG875" s="36"/>
      <c r="AH875" s="36"/>
      <c r="AI875" s="36"/>
      <c r="AJ875" s="36"/>
      <c r="A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AF876" s="36"/>
      <c r="AG876" s="36"/>
      <c r="AH876" s="36"/>
      <c r="AI876" s="36"/>
      <c r="AJ876" s="36"/>
      <c r="A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AF877" s="36"/>
      <c r="AG877" s="36"/>
      <c r="AH877" s="36"/>
      <c r="AI877" s="36"/>
      <c r="AJ877" s="36"/>
      <c r="A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AF878" s="36"/>
      <c r="AG878" s="36"/>
      <c r="AH878" s="36"/>
      <c r="AI878" s="36"/>
      <c r="AJ878" s="36"/>
      <c r="A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AF879" s="36"/>
      <c r="AG879" s="36"/>
      <c r="AH879" s="36"/>
      <c r="AI879" s="36"/>
      <c r="AJ879" s="36"/>
      <c r="A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AF880" s="36"/>
      <c r="AG880" s="36"/>
      <c r="AH880" s="36"/>
      <c r="AI880" s="36"/>
      <c r="AJ880" s="36"/>
      <c r="A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AF881" s="36"/>
      <c r="AG881" s="36"/>
      <c r="AH881" s="36"/>
      <c r="AI881" s="36"/>
      <c r="AJ881" s="36"/>
      <c r="A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AF882" s="36"/>
      <c r="AG882" s="36"/>
      <c r="AH882" s="36"/>
      <c r="AI882" s="36"/>
      <c r="AJ882" s="36"/>
      <c r="A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AF883" s="36"/>
      <c r="AG883" s="36"/>
      <c r="AH883" s="36"/>
      <c r="AI883" s="36"/>
      <c r="AJ883" s="36"/>
      <c r="A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AF884" s="36"/>
      <c r="AG884" s="36"/>
      <c r="AH884" s="36"/>
      <c r="AI884" s="36"/>
      <c r="AJ884" s="36"/>
      <c r="A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AF885" s="36"/>
      <c r="AG885" s="36"/>
      <c r="AH885" s="36"/>
      <c r="AI885" s="36"/>
      <c r="AJ885" s="36"/>
      <c r="A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AF886" s="36"/>
      <c r="AG886" s="36"/>
      <c r="AH886" s="36"/>
      <c r="AI886" s="36"/>
      <c r="AJ886" s="36"/>
      <c r="A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AF887" s="36"/>
      <c r="AG887" s="36"/>
      <c r="AH887" s="36"/>
      <c r="AI887" s="36"/>
      <c r="AJ887" s="36"/>
      <c r="A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AF888" s="36"/>
      <c r="AG888" s="36"/>
      <c r="AH888" s="36"/>
      <c r="AI888" s="36"/>
      <c r="AJ888" s="36"/>
      <c r="A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AF889" s="36"/>
      <c r="AG889" s="36"/>
      <c r="AH889" s="36"/>
      <c r="AI889" s="36"/>
      <c r="AJ889" s="36"/>
      <c r="A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AF890" s="36"/>
      <c r="AG890" s="36"/>
      <c r="AH890" s="36"/>
      <c r="AI890" s="36"/>
      <c r="AJ890" s="36"/>
      <c r="A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AF891" s="36"/>
      <c r="AG891" s="36"/>
      <c r="AH891" s="36"/>
      <c r="AI891" s="36"/>
      <c r="AJ891" s="36"/>
      <c r="A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AF892" s="36"/>
      <c r="AG892" s="36"/>
      <c r="AH892" s="36"/>
      <c r="AI892" s="36"/>
      <c r="AJ892" s="36"/>
      <c r="A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AF893" s="36"/>
      <c r="AG893" s="36"/>
      <c r="AH893" s="36"/>
      <c r="AI893" s="36"/>
      <c r="AJ893" s="36"/>
      <c r="A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AF894" s="36"/>
      <c r="AG894" s="36"/>
      <c r="AH894" s="36"/>
      <c r="AI894" s="36"/>
      <c r="AJ894" s="36"/>
      <c r="A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AF895" s="36"/>
      <c r="AG895" s="36"/>
      <c r="AH895" s="36"/>
      <c r="AI895" s="36"/>
      <c r="AJ895" s="36"/>
      <c r="A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AF896" s="36"/>
      <c r="AG896" s="36"/>
      <c r="AH896" s="36"/>
      <c r="AI896" s="36"/>
      <c r="AJ896" s="36"/>
      <c r="A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AF897" s="36"/>
      <c r="AG897" s="36"/>
      <c r="AH897" s="36"/>
      <c r="AI897" s="36"/>
      <c r="AJ897" s="36"/>
      <c r="A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AF898" s="36"/>
      <c r="AG898" s="36"/>
      <c r="AH898" s="36"/>
      <c r="AI898" s="36"/>
      <c r="AJ898" s="36"/>
      <c r="A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AF899" s="36"/>
      <c r="AG899" s="36"/>
      <c r="AH899" s="36"/>
      <c r="AI899" s="36"/>
      <c r="AJ899" s="36"/>
      <c r="A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AF900" s="36"/>
      <c r="AG900" s="36"/>
      <c r="AH900" s="36"/>
      <c r="AI900" s="36"/>
      <c r="AJ900" s="36"/>
      <c r="A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AF901" s="36"/>
      <c r="AG901" s="36"/>
      <c r="AH901" s="36"/>
      <c r="AI901" s="36"/>
      <c r="AJ901" s="36"/>
      <c r="A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AF902" s="36"/>
      <c r="AG902" s="36"/>
      <c r="AH902" s="36"/>
      <c r="AI902" s="36"/>
      <c r="AJ902" s="36"/>
      <c r="A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AF903" s="36"/>
      <c r="AG903" s="36"/>
      <c r="AH903" s="36"/>
      <c r="AI903" s="36"/>
      <c r="AJ903" s="36"/>
      <c r="A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AF904" s="36"/>
      <c r="AG904" s="36"/>
      <c r="AH904" s="36"/>
      <c r="AI904" s="36"/>
      <c r="AJ904" s="36"/>
      <c r="A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AF905" s="36"/>
      <c r="AG905" s="36"/>
      <c r="AH905" s="36"/>
      <c r="AI905" s="36"/>
      <c r="AJ905" s="36"/>
      <c r="A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AF906" s="36"/>
      <c r="AG906" s="36"/>
      <c r="AH906" s="36"/>
      <c r="AI906" s="36"/>
      <c r="AJ906" s="36"/>
      <c r="A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AF907" s="36"/>
      <c r="AG907" s="36"/>
      <c r="AH907" s="36"/>
      <c r="AI907" s="36"/>
      <c r="AJ907" s="36"/>
      <c r="A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AF908" s="36"/>
      <c r="AG908" s="36"/>
      <c r="AH908" s="36"/>
      <c r="AI908" s="36"/>
      <c r="AJ908" s="36"/>
      <c r="A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AF909" s="36"/>
      <c r="AG909" s="36"/>
      <c r="AH909" s="36"/>
      <c r="AI909" s="36"/>
      <c r="AJ909" s="36"/>
      <c r="A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AF910" s="36"/>
      <c r="AG910" s="36"/>
      <c r="AH910" s="36"/>
      <c r="AI910" s="36"/>
      <c r="AJ910" s="36"/>
      <c r="A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AF911" s="36"/>
      <c r="AG911" s="36"/>
      <c r="AH911" s="36"/>
      <c r="AI911" s="36"/>
      <c r="AJ911" s="36"/>
      <c r="A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AF912" s="36"/>
      <c r="AG912" s="36"/>
      <c r="AH912" s="36"/>
      <c r="AI912" s="36"/>
      <c r="AJ912" s="36"/>
      <c r="A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AF913" s="36"/>
      <c r="AG913" s="36"/>
      <c r="AH913" s="36"/>
      <c r="AI913" s="36"/>
      <c r="AJ913" s="36"/>
      <c r="A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AF914" s="36"/>
      <c r="AG914" s="36"/>
      <c r="AH914" s="36"/>
      <c r="AI914" s="36"/>
      <c r="AJ914" s="36"/>
      <c r="A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AF915" s="36"/>
      <c r="AG915" s="36"/>
      <c r="AH915" s="36"/>
      <c r="AI915" s="36"/>
      <c r="AJ915" s="36"/>
      <c r="A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AF916" s="36"/>
      <c r="AG916" s="36"/>
      <c r="AH916" s="36"/>
      <c r="AI916" s="36"/>
      <c r="AJ916" s="36"/>
      <c r="A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AF917" s="36"/>
      <c r="AG917" s="36"/>
      <c r="AH917" s="36"/>
      <c r="AI917" s="36"/>
      <c r="AJ917" s="36"/>
      <c r="A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AF918" s="36"/>
      <c r="AG918" s="36"/>
      <c r="AH918" s="36"/>
      <c r="AI918" s="36"/>
      <c r="AJ918" s="36"/>
      <c r="A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AF919" s="36"/>
      <c r="AG919" s="36"/>
      <c r="AH919" s="36"/>
      <c r="AI919" s="36"/>
      <c r="AJ919" s="36"/>
      <c r="A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AF920" s="36"/>
      <c r="AG920" s="36"/>
      <c r="AH920" s="36"/>
      <c r="AI920" s="36"/>
      <c r="AJ920" s="36"/>
      <c r="A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AF921" s="36"/>
      <c r="AG921" s="36"/>
      <c r="AH921" s="36"/>
      <c r="AI921" s="36"/>
      <c r="AJ921" s="36"/>
      <c r="A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AF922" s="36"/>
      <c r="AG922" s="36"/>
      <c r="AH922" s="36"/>
      <c r="AI922" s="36"/>
      <c r="AJ922" s="36"/>
      <c r="A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AF923" s="36"/>
      <c r="AG923" s="36"/>
      <c r="AH923" s="36"/>
      <c r="AI923" s="36"/>
      <c r="AJ923" s="36"/>
      <c r="A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AF924" s="36"/>
      <c r="AG924" s="36"/>
      <c r="AH924" s="36"/>
      <c r="AI924" s="36"/>
      <c r="AJ924" s="36"/>
      <c r="A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AF925" s="36"/>
      <c r="AG925" s="36"/>
      <c r="AH925" s="36"/>
      <c r="AI925" s="36"/>
      <c r="AJ925" s="36"/>
      <c r="A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AF926" s="36"/>
      <c r="AG926" s="36"/>
      <c r="AH926" s="36"/>
      <c r="AI926" s="36"/>
      <c r="AJ926" s="36"/>
      <c r="A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AF927" s="36"/>
      <c r="AG927" s="36"/>
      <c r="AH927" s="36"/>
      <c r="AI927" s="36"/>
      <c r="AJ927" s="36"/>
      <c r="A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AF928" s="36"/>
      <c r="AG928" s="36"/>
      <c r="AH928" s="36"/>
      <c r="AI928" s="36"/>
      <c r="AJ928" s="36"/>
      <c r="A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AF929" s="36"/>
      <c r="AG929" s="36"/>
      <c r="AH929" s="36"/>
      <c r="AI929" s="36"/>
      <c r="AJ929" s="36"/>
      <c r="A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AF930" s="36"/>
      <c r="AG930" s="36"/>
      <c r="AH930" s="36"/>
      <c r="AI930" s="36"/>
      <c r="AJ930" s="36"/>
      <c r="A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AF931" s="36"/>
      <c r="AG931" s="36"/>
      <c r="AH931" s="36"/>
      <c r="AI931" s="36"/>
      <c r="AJ931" s="36"/>
      <c r="A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AF932" s="36"/>
      <c r="AG932" s="36"/>
      <c r="AH932" s="36"/>
      <c r="AI932" s="36"/>
      <c r="AJ932" s="36"/>
      <c r="A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AF933" s="36"/>
      <c r="AG933" s="36"/>
      <c r="AH933" s="36"/>
      <c r="AI933" s="36"/>
      <c r="AJ933" s="36"/>
      <c r="A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AF934" s="36"/>
      <c r="AG934" s="36"/>
      <c r="AH934" s="36"/>
      <c r="AI934" s="36"/>
      <c r="AJ934" s="36"/>
      <c r="A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AF935" s="36"/>
      <c r="AG935" s="36"/>
      <c r="AH935" s="36"/>
      <c r="AI935" s="36"/>
      <c r="AJ935" s="36"/>
      <c r="A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AF936" s="36"/>
      <c r="AG936" s="36"/>
      <c r="AH936" s="36"/>
      <c r="AI936" s="36"/>
      <c r="AJ936" s="36"/>
      <c r="A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AF937" s="36"/>
      <c r="AG937" s="36"/>
      <c r="AH937" s="36"/>
      <c r="AI937" s="36"/>
      <c r="AJ937" s="36"/>
      <c r="A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AF938" s="36"/>
      <c r="AG938" s="36"/>
      <c r="AH938" s="36"/>
      <c r="AI938" s="36"/>
      <c r="AJ938" s="36"/>
      <c r="A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AF939" s="36"/>
      <c r="AG939" s="36"/>
      <c r="AH939" s="36"/>
      <c r="AI939" s="36"/>
      <c r="AJ939" s="36"/>
      <c r="A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AF940" s="36"/>
      <c r="AG940" s="36"/>
      <c r="AH940" s="36"/>
      <c r="AI940" s="36"/>
      <c r="AJ940" s="36"/>
      <c r="A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AF941" s="36"/>
      <c r="AG941" s="36"/>
      <c r="AH941" s="36"/>
      <c r="AI941" s="36"/>
      <c r="AJ941" s="36"/>
      <c r="A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AF942" s="36"/>
      <c r="AG942" s="36"/>
      <c r="AH942" s="36"/>
      <c r="AI942" s="36"/>
      <c r="AJ942" s="36"/>
      <c r="A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AF943" s="36"/>
      <c r="AG943" s="36"/>
      <c r="AH943" s="36"/>
      <c r="AI943" s="36"/>
      <c r="AJ943" s="36"/>
      <c r="A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AF944" s="36"/>
      <c r="AG944" s="36"/>
      <c r="AH944" s="36"/>
      <c r="AI944" s="36"/>
      <c r="AJ944" s="36"/>
      <c r="A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AF945" s="36"/>
      <c r="AG945" s="36"/>
      <c r="AH945" s="36"/>
      <c r="AI945" s="36"/>
      <c r="AJ945" s="36"/>
      <c r="A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AF946" s="36"/>
      <c r="AG946" s="36"/>
      <c r="AH946" s="36"/>
      <c r="AI946" s="36"/>
      <c r="AJ946" s="36"/>
      <c r="A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AF947" s="36"/>
      <c r="AG947" s="36"/>
      <c r="AH947" s="36"/>
      <c r="AI947" s="36"/>
      <c r="AJ947" s="36"/>
      <c r="A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AF948" s="36"/>
      <c r="AG948" s="36"/>
      <c r="AH948" s="36"/>
      <c r="AI948" s="36"/>
      <c r="AJ948" s="36"/>
      <c r="A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AF949" s="36"/>
      <c r="AG949" s="36"/>
      <c r="AH949" s="36"/>
      <c r="AI949" s="36"/>
      <c r="AJ949" s="36"/>
      <c r="A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AF950" s="36"/>
      <c r="AG950" s="36"/>
      <c r="AH950" s="36"/>
      <c r="AI950" s="36"/>
      <c r="AJ950" s="36"/>
      <c r="A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AF951" s="36"/>
      <c r="AG951" s="36"/>
      <c r="AH951" s="36"/>
      <c r="AI951" s="36"/>
      <c r="AJ951" s="36"/>
      <c r="A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AF952" s="36"/>
      <c r="AG952" s="36"/>
      <c r="AH952" s="36"/>
      <c r="AI952" s="36"/>
      <c r="AJ952" s="36"/>
      <c r="A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AF953" s="36"/>
      <c r="AG953" s="36"/>
      <c r="AH953" s="36"/>
      <c r="AI953" s="36"/>
      <c r="AJ953" s="36"/>
      <c r="A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AF954" s="36"/>
      <c r="AG954" s="36"/>
      <c r="AH954" s="36"/>
      <c r="AI954" s="36"/>
      <c r="AJ954" s="36"/>
      <c r="A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AF955" s="36"/>
      <c r="AG955" s="36"/>
      <c r="AH955" s="36"/>
      <c r="AI955" s="36"/>
      <c r="AJ955" s="36"/>
      <c r="A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AF956" s="36"/>
      <c r="AG956" s="36"/>
      <c r="AH956" s="36"/>
      <c r="AI956" s="36"/>
      <c r="AJ956" s="36"/>
      <c r="A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AF957" s="36"/>
      <c r="AG957" s="36"/>
      <c r="AH957" s="36"/>
      <c r="AI957" s="36"/>
      <c r="AJ957" s="36"/>
      <c r="A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AF958" s="36"/>
      <c r="AG958" s="36"/>
      <c r="AH958" s="36"/>
      <c r="AI958" s="36"/>
      <c r="AJ958" s="36"/>
      <c r="A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AF959" s="36"/>
      <c r="AG959" s="36"/>
      <c r="AH959" s="36"/>
      <c r="AI959" s="36"/>
      <c r="AJ959" s="36"/>
      <c r="A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AF960" s="36"/>
      <c r="AG960" s="36"/>
      <c r="AH960" s="36"/>
      <c r="AI960" s="36"/>
      <c r="AJ960" s="36"/>
      <c r="A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AF961" s="36"/>
      <c r="AG961" s="36"/>
      <c r="AH961" s="36"/>
      <c r="AI961" s="36"/>
      <c r="AJ961" s="36"/>
      <c r="A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AF962" s="36"/>
      <c r="AG962" s="36"/>
      <c r="AH962" s="36"/>
      <c r="AI962" s="36"/>
      <c r="AJ962" s="36"/>
      <c r="A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AF963" s="36"/>
      <c r="AG963" s="36"/>
      <c r="AH963" s="36"/>
      <c r="AI963" s="36"/>
      <c r="AJ963" s="36"/>
      <c r="A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AF964" s="36"/>
      <c r="AG964" s="36"/>
      <c r="AH964" s="36"/>
      <c r="AI964" s="36"/>
      <c r="AJ964" s="36"/>
      <c r="A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AF965" s="36"/>
      <c r="AG965" s="36"/>
      <c r="AH965" s="36"/>
      <c r="AI965" s="36"/>
      <c r="AJ965" s="36"/>
      <c r="A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AF966" s="36"/>
      <c r="AG966" s="36"/>
      <c r="AH966" s="36"/>
      <c r="AI966" s="36"/>
      <c r="AJ966" s="36"/>
      <c r="A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AF967" s="36"/>
      <c r="AG967" s="36"/>
      <c r="AH967" s="36"/>
      <c r="AI967" s="36"/>
      <c r="AJ967" s="36"/>
      <c r="A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AF968" s="36"/>
      <c r="AG968" s="36"/>
      <c r="AH968" s="36"/>
      <c r="AI968" s="36"/>
      <c r="AJ968" s="36"/>
      <c r="A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AF969" s="36"/>
      <c r="AG969" s="36"/>
      <c r="AH969" s="36"/>
      <c r="AI969" s="36"/>
      <c r="AJ969" s="36"/>
      <c r="A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AF970" s="36"/>
      <c r="AG970" s="36"/>
      <c r="AH970" s="36"/>
      <c r="AI970" s="36"/>
      <c r="AJ970" s="36"/>
      <c r="A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AF971" s="36"/>
      <c r="AG971" s="36"/>
      <c r="AH971" s="36"/>
      <c r="AI971" s="36"/>
      <c r="AJ971" s="36"/>
      <c r="A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AF972" s="36"/>
      <c r="AG972" s="36"/>
      <c r="AH972" s="36"/>
      <c r="AI972" s="36"/>
      <c r="AJ972" s="36"/>
      <c r="A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AF973" s="36"/>
      <c r="AG973" s="36"/>
      <c r="AH973" s="36"/>
      <c r="AI973" s="36"/>
      <c r="AJ973" s="36"/>
      <c r="A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AF974" s="36"/>
      <c r="AG974" s="36"/>
      <c r="AH974" s="36"/>
      <c r="AI974" s="36"/>
      <c r="AJ974" s="36"/>
      <c r="A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AF975" s="36"/>
      <c r="AG975" s="36"/>
      <c r="AH975" s="36"/>
      <c r="AI975" s="36"/>
      <c r="AJ975" s="36"/>
      <c r="A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AF976" s="36"/>
      <c r="AG976" s="36"/>
      <c r="AH976" s="36"/>
      <c r="AI976" s="36"/>
      <c r="AJ976" s="36"/>
      <c r="A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AF977" s="36"/>
      <c r="AG977" s="36"/>
      <c r="AH977" s="36"/>
      <c r="AI977" s="36"/>
      <c r="AJ977" s="36"/>
      <c r="A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AF978" s="36"/>
      <c r="AG978" s="36"/>
      <c r="AH978" s="36"/>
      <c r="AI978" s="36"/>
      <c r="AJ978" s="36"/>
      <c r="A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AF979" s="36"/>
      <c r="AG979" s="36"/>
      <c r="AH979" s="36"/>
      <c r="AI979" s="36"/>
      <c r="AJ979" s="36"/>
      <c r="A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AF980" s="36"/>
      <c r="AG980" s="36"/>
      <c r="AH980" s="36"/>
      <c r="AI980" s="36"/>
      <c r="AJ980" s="36"/>
      <c r="A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AF981" s="36"/>
      <c r="AG981" s="36"/>
      <c r="AH981" s="36"/>
      <c r="AI981" s="36"/>
      <c r="AJ981" s="36"/>
      <c r="A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AF982" s="36"/>
      <c r="AG982" s="36"/>
      <c r="AH982" s="36"/>
      <c r="AI982" s="36"/>
      <c r="AJ982" s="36"/>
      <c r="A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AF983" s="36"/>
      <c r="AG983" s="36"/>
      <c r="AH983" s="36"/>
      <c r="AI983" s="36"/>
      <c r="AJ983" s="36"/>
      <c r="A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AF984" s="36"/>
      <c r="AG984" s="36"/>
      <c r="AH984" s="36"/>
      <c r="AI984" s="36"/>
      <c r="AJ984" s="36"/>
      <c r="A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AF985" s="36"/>
      <c r="AG985" s="36"/>
      <c r="AH985" s="36"/>
      <c r="AI985" s="36"/>
      <c r="AJ985" s="36"/>
      <c r="A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AF986" s="36"/>
      <c r="AG986" s="36"/>
      <c r="AH986" s="36"/>
      <c r="AI986" s="36"/>
      <c r="AJ986" s="36"/>
      <c r="A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AF987" s="36"/>
      <c r="AG987" s="36"/>
      <c r="AH987" s="36"/>
      <c r="AI987" s="36"/>
      <c r="AJ987" s="36"/>
      <c r="A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AF988" s="36"/>
      <c r="AG988" s="36"/>
      <c r="AH988" s="36"/>
      <c r="AI988" s="36"/>
      <c r="AJ988" s="36"/>
      <c r="A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AF989" s="36"/>
      <c r="AG989" s="36"/>
      <c r="AH989" s="36"/>
      <c r="AI989" s="36"/>
      <c r="AJ989" s="36"/>
      <c r="A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AF990" s="36"/>
      <c r="AG990" s="36"/>
      <c r="AH990" s="36"/>
      <c r="AI990" s="36"/>
      <c r="AJ990" s="36"/>
      <c r="A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AF991" s="36"/>
      <c r="AG991" s="36"/>
      <c r="AH991" s="36"/>
      <c r="AI991" s="36"/>
      <c r="AJ991" s="36"/>
      <c r="A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AF992" s="36"/>
      <c r="AG992" s="36"/>
      <c r="AH992" s="36"/>
      <c r="AI992" s="36"/>
      <c r="AJ992" s="36"/>
      <c r="A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AF993" s="36"/>
      <c r="AG993" s="36"/>
      <c r="AH993" s="36"/>
      <c r="AI993" s="36"/>
      <c r="AJ993" s="36"/>
      <c r="A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AF994" s="36"/>
      <c r="AG994" s="36"/>
      <c r="AH994" s="36"/>
      <c r="AI994" s="36"/>
      <c r="AJ994" s="36"/>
      <c r="A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AF995" s="36"/>
      <c r="AG995" s="36"/>
      <c r="AH995" s="36"/>
      <c r="AI995" s="36"/>
      <c r="AJ995" s="36"/>
      <c r="A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AF996" s="36"/>
      <c r="AG996" s="36"/>
      <c r="AH996" s="36"/>
      <c r="AI996" s="36"/>
      <c r="AJ996" s="36"/>
      <c r="A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AF997" s="36"/>
      <c r="AG997" s="36"/>
      <c r="AH997" s="36"/>
      <c r="AI997" s="36"/>
      <c r="AJ997" s="36"/>
      <c r="A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AF998" s="36"/>
      <c r="AG998" s="36"/>
      <c r="AH998" s="36"/>
      <c r="AI998" s="36"/>
      <c r="AJ998" s="36"/>
      <c r="A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AF999" s="36"/>
      <c r="AG999" s="36"/>
      <c r="AH999" s="36"/>
      <c r="AI999" s="36"/>
      <c r="AJ999" s="36"/>
      <c r="A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AF1000" s="36"/>
      <c r="AG1000" s="36"/>
      <c r="AH1000" s="36"/>
      <c r="AI1000" s="36"/>
      <c r="AJ1000" s="36"/>
      <c r="AK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AF1001" s="36"/>
      <c r="AG1001" s="36"/>
      <c r="AH1001" s="36"/>
      <c r="AI1001" s="36"/>
      <c r="AJ1001" s="36"/>
      <c r="AK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AF1002" s="36"/>
      <c r="AG1002" s="36"/>
      <c r="AH1002" s="36"/>
      <c r="AI1002" s="36"/>
      <c r="AJ1002" s="36"/>
      <c r="AK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AF1003" s="36"/>
      <c r="AG1003" s="36"/>
      <c r="AH1003" s="36"/>
      <c r="AI1003" s="36"/>
      <c r="AJ1003" s="36"/>
      <c r="AK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AF1004" s="36"/>
      <c r="AG1004" s="36"/>
      <c r="AH1004" s="36"/>
      <c r="AI1004" s="36"/>
      <c r="AJ1004" s="36"/>
      <c r="AK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AF1005" s="36"/>
      <c r="AG1005" s="36"/>
      <c r="AH1005" s="36"/>
      <c r="AI1005" s="36"/>
      <c r="AJ1005" s="36"/>
      <c r="AK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AF1006" s="36"/>
      <c r="AG1006" s="36"/>
      <c r="AH1006" s="36"/>
      <c r="AI1006" s="36"/>
      <c r="AJ1006" s="36"/>
      <c r="AK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AF1007" s="36"/>
      <c r="AG1007" s="36"/>
      <c r="AH1007" s="36"/>
      <c r="AI1007" s="36"/>
      <c r="AJ1007" s="36"/>
      <c r="AK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AF1008" s="36"/>
      <c r="AG1008" s="36"/>
      <c r="AH1008" s="36"/>
      <c r="AI1008" s="36"/>
      <c r="AJ1008" s="36"/>
      <c r="AK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AF1009" s="36"/>
      <c r="AG1009" s="36"/>
      <c r="AH1009" s="36"/>
      <c r="AI1009" s="36"/>
      <c r="AJ1009" s="36"/>
      <c r="AK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AF1010" s="36"/>
      <c r="AG1010" s="36"/>
      <c r="AH1010" s="36"/>
      <c r="AI1010" s="36"/>
      <c r="AJ1010" s="36"/>
      <c r="AK1010" s="36"/>
    </row>
    <row r="101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AF1011" s="36"/>
      <c r="AG1011" s="36"/>
      <c r="AH1011" s="36"/>
      <c r="AI1011" s="36"/>
      <c r="AJ1011" s="36"/>
      <c r="AK1011" s="36"/>
    </row>
  </sheetData>
  <mergeCells count="24">
    <mergeCell ref="AF2:AG2"/>
    <mergeCell ref="AH2:AI2"/>
    <mergeCell ref="B1:G1"/>
    <mergeCell ref="H1:M1"/>
    <mergeCell ref="N1:S1"/>
    <mergeCell ref="T1:Y1"/>
    <mergeCell ref="Z1:AE1"/>
    <mergeCell ref="AF1:AK1"/>
    <mergeCell ref="B2:C2"/>
    <mergeCell ref="AJ2:AK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75"/>
    <col customWidth="1" min="2" max="3" width="8.5"/>
    <col customWidth="1" min="4" max="5" width="7.5"/>
    <col customWidth="1" min="6" max="7" width="7.25"/>
    <col customWidth="1" min="8" max="9" width="10.0"/>
    <col customWidth="1" min="10" max="11" width="10.25"/>
    <col customWidth="1" min="12" max="13" width="8.38"/>
    <col customWidth="1" min="14" max="15" width="11.75"/>
  </cols>
  <sheetData>
    <row r="1">
      <c r="A1" s="1" t="s">
        <v>145</v>
      </c>
      <c r="B1" s="2" t="s">
        <v>146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3"/>
      <c r="M1" s="4"/>
      <c r="N1" s="6" t="s">
        <v>3</v>
      </c>
      <c r="O1" s="3"/>
      <c r="P1" s="3"/>
      <c r="Q1" s="3"/>
      <c r="R1" s="3"/>
      <c r="S1" s="4"/>
      <c r="T1" s="7" t="s">
        <v>4</v>
      </c>
      <c r="U1" s="3"/>
      <c r="V1" s="3"/>
      <c r="W1" s="3"/>
      <c r="X1" s="3"/>
      <c r="Y1" s="4"/>
      <c r="Z1" s="8" t="s">
        <v>5</v>
      </c>
      <c r="AA1" s="3"/>
      <c r="AB1" s="3"/>
      <c r="AC1" s="3"/>
      <c r="AD1" s="3"/>
      <c r="AE1" s="4"/>
      <c r="AF1" s="9" t="s">
        <v>6</v>
      </c>
      <c r="AG1" s="3"/>
      <c r="AH1" s="3"/>
      <c r="AI1" s="3"/>
      <c r="AJ1" s="3"/>
      <c r="AK1" s="4"/>
    </row>
    <row r="2">
      <c r="A2" s="10" t="s">
        <v>7</v>
      </c>
      <c r="B2" s="78">
        <v>4096.0</v>
      </c>
      <c r="C2" s="4"/>
      <c r="D2" s="78">
        <v>8192.0</v>
      </c>
      <c r="E2" s="4"/>
      <c r="F2" s="78">
        <v>16384.0</v>
      </c>
      <c r="G2" s="4"/>
      <c r="H2" s="79">
        <v>4096.0</v>
      </c>
      <c r="I2" s="4"/>
      <c r="J2" s="79">
        <v>8192.0</v>
      </c>
      <c r="K2" s="4"/>
      <c r="L2" s="79">
        <v>16384.0</v>
      </c>
      <c r="M2" s="4"/>
      <c r="N2" s="80">
        <v>4096.0</v>
      </c>
      <c r="O2" s="4"/>
      <c r="P2" s="80">
        <v>8192.0</v>
      </c>
      <c r="Q2" s="4"/>
      <c r="R2" s="80">
        <v>16384.0</v>
      </c>
      <c r="S2" s="4"/>
      <c r="T2" s="81">
        <v>4096.0</v>
      </c>
      <c r="U2" s="4"/>
      <c r="V2" s="81">
        <v>8192.0</v>
      </c>
      <c r="W2" s="4"/>
      <c r="X2" s="81">
        <v>16384.0</v>
      </c>
      <c r="Y2" s="4"/>
      <c r="Z2" s="82">
        <v>4096.0</v>
      </c>
      <c r="AA2" s="4"/>
      <c r="AB2" s="82">
        <v>8192.0</v>
      </c>
      <c r="AC2" s="4"/>
      <c r="AD2" s="82">
        <v>16384.0</v>
      </c>
      <c r="AE2" s="4"/>
      <c r="AF2" s="83">
        <v>4096.0</v>
      </c>
      <c r="AG2" s="4"/>
      <c r="AH2" s="83">
        <v>8192.0</v>
      </c>
      <c r="AI2" s="4"/>
      <c r="AJ2" s="83">
        <v>16384.0</v>
      </c>
      <c r="AK2" s="4"/>
      <c r="AL2" s="17"/>
      <c r="AM2" s="17"/>
      <c r="AN2" s="17"/>
      <c r="AO2" s="17"/>
      <c r="AP2" s="17"/>
      <c r="AQ2" s="17"/>
      <c r="AR2" s="17"/>
    </row>
    <row r="3">
      <c r="A3" s="10"/>
      <c r="B3" s="11" t="s">
        <v>135</v>
      </c>
      <c r="C3" s="11" t="s">
        <v>136</v>
      </c>
      <c r="D3" s="11" t="s">
        <v>135</v>
      </c>
      <c r="E3" s="11" t="s">
        <v>136</v>
      </c>
      <c r="F3" s="11" t="s">
        <v>135</v>
      </c>
      <c r="G3" s="11" t="s">
        <v>136</v>
      </c>
      <c r="H3" s="12" t="s">
        <v>135</v>
      </c>
      <c r="I3" s="12" t="s">
        <v>136</v>
      </c>
      <c r="J3" s="12" t="s">
        <v>135</v>
      </c>
      <c r="K3" s="12" t="s">
        <v>136</v>
      </c>
      <c r="L3" s="12" t="s">
        <v>135</v>
      </c>
      <c r="M3" s="12" t="s">
        <v>136</v>
      </c>
      <c r="N3" s="13" t="s">
        <v>135</v>
      </c>
      <c r="O3" s="13" t="s">
        <v>136</v>
      </c>
      <c r="P3" s="13" t="s">
        <v>135</v>
      </c>
      <c r="Q3" s="13" t="s">
        <v>136</v>
      </c>
      <c r="R3" s="13" t="s">
        <v>135</v>
      </c>
      <c r="S3" s="13" t="s">
        <v>136</v>
      </c>
      <c r="T3" s="14" t="s">
        <v>135</v>
      </c>
      <c r="U3" s="14" t="s">
        <v>136</v>
      </c>
      <c r="V3" s="14" t="s">
        <v>135</v>
      </c>
      <c r="W3" s="14" t="s">
        <v>136</v>
      </c>
      <c r="X3" s="14" t="s">
        <v>135</v>
      </c>
      <c r="Y3" s="14" t="s">
        <v>136</v>
      </c>
      <c r="Z3" s="15" t="s">
        <v>135</v>
      </c>
      <c r="AA3" s="15" t="s">
        <v>136</v>
      </c>
      <c r="AB3" s="15" t="s">
        <v>135</v>
      </c>
      <c r="AC3" s="15" t="s">
        <v>136</v>
      </c>
      <c r="AD3" s="15" t="s">
        <v>135</v>
      </c>
      <c r="AE3" s="15" t="s">
        <v>136</v>
      </c>
      <c r="AF3" s="16" t="s">
        <v>135</v>
      </c>
      <c r="AG3" s="16" t="s">
        <v>136</v>
      </c>
      <c r="AH3" s="16" t="s">
        <v>135</v>
      </c>
      <c r="AI3" s="16" t="s">
        <v>136</v>
      </c>
      <c r="AJ3" s="16" t="s">
        <v>135</v>
      </c>
      <c r="AK3" s="16" t="s">
        <v>136</v>
      </c>
      <c r="AL3" s="17"/>
      <c r="AM3" s="17"/>
      <c r="AN3" s="17"/>
      <c r="AO3" s="17"/>
      <c r="AP3" s="17"/>
      <c r="AQ3" s="17"/>
      <c r="AR3" s="17"/>
    </row>
    <row r="4">
      <c r="A4" s="18" t="s">
        <v>8</v>
      </c>
      <c r="B4" s="19"/>
      <c r="C4" s="19"/>
      <c r="D4" s="19"/>
      <c r="E4" s="19"/>
      <c r="F4" s="19"/>
      <c r="G4" s="19"/>
      <c r="H4" s="20"/>
      <c r="I4" s="20"/>
      <c r="J4" s="20"/>
      <c r="K4" s="20"/>
      <c r="L4" s="21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>
      <c r="A5" s="23" t="s">
        <v>9</v>
      </c>
      <c r="B5" s="24">
        <v>3.0</v>
      </c>
      <c r="C5" s="24">
        <v>3.0</v>
      </c>
      <c r="D5" s="24">
        <v>3.0</v>
      </c>
      <c r="E5" s="24">
        <v>3.0</v>
      </c>
      <c r="F5" s="24">
        <v>3.0</v>
      </c>
      <c r="G5" s="24">
        <v>3.0</v>
      </c>
      <c r="H5" s="25">
        <v>50.0</v>
      </c>
      <c r="I5" s="25">
        <v>25.0</v>
      </c>
      <c r="J5" s="25">
        <v>33.3</v>
      </c>
      <c r="K5" s="25">
        <v>40.0</v>
      </c>
      <c r="L5" s="25">
        <v>25.0</v>
      </c>
      <c r="M5" s="25">
        <v>50.0</v>
      </c>
      <c r="N5" s="26">
        <v>81.66</v>
      </c>
      <c r="O5" s="26">
        <v>116.16</v>
      </c>
      <c r="P5" s="26">
        <v>81.19</v>
      </c>
      <c r="Q5" s="26">
        <v>98.88</v>
      </c>
      <c r="R5" s="26">
        <v>80.57</v>
      </c>
      <c r="S5" s="26">
        <v>96.62</v>
      </c>
      <c r="T5" s="27">
        <v>43.4</v>
      </c>
      <c r="U5" s="27">
        <v>45.5</v>
      </c>
      <c r="V5" s="27">
        <v>46.0</v>
      </c>
      <c r="W5" s="27">
        <v>45.5</v>
      </c>
      <c r="X5" s="27">
        <v>45.5</v>
      </c>
      <c r="Y5" s="27">
        <v>45.5</v>
      </c>
      <c r="Z5" s="41">
        <v>9.79</v>
      </c>
      <c r="AA5" s="41">
        <v>26.71</v>
      </c>
      <c r="AB5" s="41">
        <v>55.65</v>
      </c>
      <c r="AC5" s="41">
        <v>65.4</v>
      </c>
      <c r="AD5" s="41">
        <v>79.72</v>
      </c>
      <c r="AE5" s="41">
        <v>84.55</v>
      </c>
      <c r="AF5" s="29">
        <v>131.2</v>
      </c>
      <c r="AG5" s="29">
        <v>278.8</v>
      </c>
      <c r="AH5" s="29">
        <v>282.6</v>
      </c>
      <c r="AI5" s="29">
        <v>282.6</v>
      </c>
      <c r="AJ5" s="29">
        <v>282.6</v>
      </c>
      <c r="AK5" s="29">
        <v>282.6</v>
      </c>
    </row>
    <row r="6">
      <c r="A6" s="23" t="s">
        <v>10</v>
      </c>
      <c r="B6" s="24">
        <v>3.0</v>
      </c>
      <c r="C6" s="24">
        <v>3.0</v>
      </c>
      <c r="D6" s="24">
        <v>3.0</v>
      </c>
      <c r="E6" s="24">
        <v>3.0</v>
      </c>
      <c r="F6" s="24">
        <v>3.0</v>
      </c>
      <c r="G6" s="24">
        <v>3.0</v>
      </c>
      <c r="H6" s="25">
        <v>50.0</v>
      </c>
      <c r="I6" s="25">
        <v>36.7</v>
      </c>
      <c r="J6" s="25">
        <v>25.0</v>
      </c>
      <c r="K6" s="25">
        <v>25.0</v>
      </c>
      <c r="L6" s="25">
        <v>25.0</v>
      </c>
      <c r="M6" s="25">
        <v>45.0</v>
      </c>
      <c r="N6" s="26">
        <v>79.91</v>
      </c>
      <c r="O6" s="26">
        <v>118.14</v>
      </c>
      <c r="P6" s="26">
        <v>80.73</v>
      </c>
      <c r="Q6" s="26">
        <v>102.89</v>
      </c>
      <c r="R6" s="26">
        <v>83.1</v>
      </c>
      <c r="S6" s="26">
        <v>90.8</v>
      </c>
      <c r="T6" s="27">
        <v>41.7</v>
      </c>
      <c r="U6" s="27">
        <v>45.5</v>
      </c>
      <c r="V6" s="27">
        <v>45.5</v>
      </c>
      <c r="W6" s="27">
        <v>45.5</v>
      </c>
      <c r="X6" s="27">
        <v>45.5</v>
      </c>
      <c r="Y6" s="27">
        <v>45.5</v>
      </c>
      <c r="Z6" s="30">
        <v>9.71</v>
      </c>
      <c r="AA6" s="30">
        <v>27.81</v>
      </c>
      <c r="AB6" s="30">
        <v>56.5</v>
      </c>
      <c r="AC6" s="30">
        <v>65.7</v>
      </c>
      <c r="AD6" s="30">
        <v>80.09</v>
      </c>
      <c r="AE6" s="30">
        <v>84.7</v>
      </c>
      <c r="AF6" s="29">
        <v>131.0</v>
      </c>
      <c r="AG6" s="29">
        <v>278.6</v>
      </c>
      <c r="AH6" s="29">
        <v>282.4</v>
      </c>
      <c r="AI6" s="29">
        <v>282.4</v>
      </c>
      <c r="AJ6" s="29">
        <v>282.4</v>
      </c>
      <c r="AK6" s="29">
        <v>282.4</v>
      </c>
    </row>
    <row r="7">
      <c r="A7" s="23" t="s">
        <v>11</v>
      </c>
      <c r="B7" s="24">
        <v>3.0</v>
      </c>
      <c r="C7" s="24">
        <v>3.0</v>
      </c>
      <c r="D7" s="24">
        <v>3.0</v>
      </c>
      <c r="E7" s="24">
        <v>3.0</v>
      </c>
      <c r="F7" s="24">
        <v>3.0</v>
      </c>
      <c r="G7" s="24">
        <v>3.0</v>
      </c>
      <c r="H7" s="25">
        <v>40.0</v>
      </c>
      <c r="I7" s="25">
        <v>50.0</v>
      </c>
      <c r="J7" s="25">
        <v>25.0</v>
      </c>
      <c r="K7" s="25">
        <v>25.0</v>
      </c>
      <c r="L7" s="25">
        <v>25.0</v>
      </c>
      <c r="M7" s="25">
        <v>25.0</v>
      </c>
      <c r="N7" s="26">
        <v>81.65</v>
      </c>
      <c r="O7" s="26">
        <v>115.34</v>
      </c>
      <c r="P7" s="26">
        <v>79.9</v>
      </c>
      <c r="Q7" s="26">
        <v>101.57</v>
      </c>
      <c r="R7" s="26">
        <v>83.44</v>
      </c>
      <c r="S7" s="26">
        <v>91.01</v>
      </c>
      <c r="T7" s="27">
        <v>42.2</v>
      </c>
      <c r="U7" s="27">
        <v>45.5</v>
      </c>
      <c r="V7" s="27">
        <v>45.5</v>
      </c>
      <c r="W7" s="27">
        <v>45.5</v>
      </c>
      <c r="X7" s="27">
        <v>45.5</v>
      </c>
      <c r="Y7" s="27">
        <v>45.5</v>
      </c>
      <c r="Z7" s="30">
        <v>6.3</v>
      </c>
      <c r="AA7" s="30">
        <v>24.03</v>
      </c>
      <c r="AB7" s="30">
        <v>52.9</v>
      </c>
      <c r="AC7" s="30">
        <v>62.21</v>
      </c>
      <c r="AD7" s="30">
        <v>76.7</v>
      </c>
      <c r="AE7" s="30">
        <v>81.59</v>
      </c>
      <c r="AF7" s="29">
        <v>135.2</v>
      </c>
      <c r="AG7" s="29">
        <v>282.8</v>
      </c>
      <c r="AH7" s="29">
        <v>286.6</v>
      </c>
      <c r="AI7" s="29">
        <v>286.7</v>
      </c>
      <c r="AJ7" s="29">
        <v>286.7</v>
      </c>
      <c r="AK7" s="29">
        <v>286.7</v>
      </c>
    </row>
    <row r="8">
      <c r="A8" s="31" t="s">
        <v>12</v>
      </c>
      <c r="B8" s="32">
        <f t="shared" ref="B8:AK8" si="1">MEDIAN(B5:B7)</f>
        <v>3</v>
      </c>
      <c r="C8" s="32">
        <f t="shared" si="1"/>
        <v>3</v>
      </c>
      <c r="D8" s="32">
        <f t="shared" si="1"/>
        <v>3</v>
      </c>
      <c r="E8" s="32">
        <f t="shared" si="1"/>
        <v>3</v>
      </c>
      <c r="F8" s="32">
        <f t="shared" si="1"/>
        <v>3</v>
      </c>
      <c r="G8" s="32">
        <f t="shared" si="1"/>
        <v>3</v>
      </c>
      <c r="H8" s="32">
        <f t="shared" si="1"/>
        <v>50</v>
      </c>
      <c r="I8" s="32">
        <f t="shared" si="1"/>
        <v>36.7</v>
      </c>
      <c r="J8" s="32">
        <f t="shared" si="1"/>
        <v>25</v>
      </c>
      <c r="K8" s="32">
        <f t="shared" si="1"/>
        <v>25</v>
      </c>
      <c r="L8" s="32">
        <f t="shared" si="1"/>
        <v>25</v>
      </c>
      <c r="M8" s="32">
        <f t="shared" si="1"/>
        <v>45</v>
      </c>
      <c r="N8" s="32">
        <f t="shared" si="1"/>
        <v>81.65</v>
      </c>
      <c r="O8" s="32">
        <f t="shared" si="1"/>
        <v>116.16</v>
      </c>
      <c r="P8" s="32">
        <f t="shared" si="1"/>
        <v>80.73</v>
      </c>
      <c r="Q8" s="32">
        <f t="shared" si="1"/>
        <v>101.57</v>
      </c>
      <c r="R8" s="32">
        <f t="shared" si="1"/>
        <v>83.1</v>
      </c>
      <c r="S8" s="32">
        <f t="shared" si="1"/>
        <v>91.01</v>
      </c>
      <c r="T8" s="32">
        <f t="shared" si="1"/>
        <v>42.2</v>
      </c>
      <c r="U8" s="32">
        <f t="shared" si="1"/>
        <v>45.5</v>
      </c>
      <c r="V8" s="32">
        <f t="shared" si="1"/>
        <v>45.5</v>
      </c>
      <c r="W8" s="32">
        <f t="shared" si="1"/>
        <v>45.5</v>
      </c>
      <c r="X8" s="32">
        <f t="shared" si="1"/>
        <v>45.5</v>
      </c>
      <c r="Y8" s="32">
        <f t="shared" si="1"/>
        <v>45.5</v>
      </c>
      <c r="Z8" s="32">
        <f t="shared" si="1"/>
        <v>9.71</v>
      </c>
      <c r="AA8" s="32">
        <f t="shared" si="1"/>
        <v>26.71</v>
      </c>
      <c r="AB8" s="32">
        <f t="shared" si="1"/>
        <v>55.65</v>
      </c>
      <c r="AC8" s="32">
        <f t="shared" si="1"/>
        <v>65.4</v>
      </c>
      <c r="AD8" s="32">
        <f t="shared" si="1"/>
        <v>79.72</v>
      </c>
      <c r="AE8" s="32">
        <f t="shared" si="1"/>
        <v>84.55</v>
      </c>
      <c r="AF8" s="32">
        <f t="shared" si="1"/>
        <v>131.2</v>
      </c>
      <c r="AG8" s="32">
        <f t="shared" si="1"/>
        <v>278.8</v>
      </c>
      <c r="AH8" s="32">
        <f t="shared" si="1"/>
        <v>282.6</v>
      </c>
      <c r="AI8" s="32">
        <f t="shared" si="1"/>
        <v>282.6</v>
      </c>
      <c r="AJ8" s="32">
        <f t="shared" si="1"/>
        <v>282.6</v>
      </c>
      <c r="AK8" s="32">
        <f t="shared" si="1"/>
        <v>282.6</v>
      </c>
    </row>
    <row r="9">
      <c r="A9" s="31" t="s">
        <v>13</v>
      </c>
      <c r="B9" s="84">
        <f t="shared" ref="B9:AK9" si="2">STDEV(B5:B7)</f>
        <v>0</v>
      </c>
      <c r="C9" s="84">
        <f t="shared" si="2"/>
        <v>0</v>
      </c>
      <c r="D9" s="84">
        <f t="shared" si="2"/>
        <v>0</v>
      </c>
      <c r="E9" s="84">
        <f t="shared" si="2"/>
        <v>0</v>
      </c>
      <c r="F9" s="84">
        <f t="shared" si="2"/>
        <v>0</v>
      </c>
      <c r="G9" s="84">
        <f t="shared" si="2"/>
        <v>0</v>
      </c>
      <c r="H9" s="33">
        <f t="shared" si="2"/>
        <v>5.773502692</v>
      </c>
      <c r="I9" s="33">
        <f t="shared" si="2"/>
        <v>12.50853042</v>
      </c>
      <c r="J9" s="33">
        <f t="shared" si="2"/>
        <v>4.792007234</v>
      </c>
      <c r="K9" s="33">
        <f t="shared" si="2"/>
        <v>8.660254038</v>
      </c>
      <c r="L9" s="33">
        <f t="shared" si="2"/>
        <v>0</v>
      </c>
      <c r="M9" s="33">
        <f t="shared" si="2"/>
        <v>13.22875656</v>
      </c>
      <c r="N9" s="34">
        <f t="shared" si="2"/>
        <v>1.007488627</v>
      </c>
      <c r="O9" s="34">
        <f t="shared" si="2"/>
        <v>1.439490651</v>
      </c>
      <c r="P9" s="34">
        <f t="shared" si="2"/>
        <v>0.6537838583</v>
      </c>
      <c r="Q9" s="34">
        <f t="shared" si="2"/>
        <v>2.043632387</v>
      </c>
      <c r="R9" s="34">
        <f t="shared" si="2"/>
        <v>1.568088008</v>
      </c>
      <c r="S9" s="34">
        <f t="shared" si="2"/>
        <v>3.301227045</v>
      </c>
      <c r="T9" s="34">
        <f t="shared" si="2"/>
        <v>0.8736894948</v>
      </c>
      <c r="U9" s="35">
        <f t="shared" si="2"/>
        <v>0</v>
      </c>
      <c r="V9" s="34">
        <f t="shared" si="2"/>
        <v>0.2886751346</v>
      </c>
      <c r="W9" s="35">
        <f t="shared" si="2"/>
        <v>0</v>
      </c>
      <c r="X9" s="35">
        <f t="shared" si="2"/>
        <v>0</v>
      </c>
      <c r="Y9" s="35">
        <f t="shared" si="2"/>
        <v>0</v>
      </c>
      <c r="Z9" s="34">
        <f t="shared" si="2"/>
        <v>1.992260023</v>
      </c>
      <c r="AA9" s="34">
        <f t="shared" si="2"/>
        <v>1.944256499</v>
      </c>
      <c r="AB9" s="34">
        <f t="shared" si="2"/>
        <v>1.881710215</v>
      </c>
      <c r="AC9" s="34">
        <f t="shared" si="2"/>
        <v>1.934175104</v>
      </c>
      <c r="AD9" s="34">
        <f t="shared" si="2"/>
        <v>1.85963258</v>
      </c>
      <c r="AE9" s="34">
        <f t="shared" si="2"/>
        <v>1.753862404</v>
      </c>
      <c r="AF9" s="34">
        <f t="shared" si="2"/>
        <v>2.369247419</v>
      </c>
      <c r="AG9" s="34">
        <f t="shared" si="2"/>
        <v>2.369247419</v>
      </c>
      <c r="AH9" s="34">
        <f t="shared" si="2"/>
        <v>2.369247419</v>
      </c>
      <c r="AI9" s="34">
        <f t="shared" si="2"/>
        <v>2.42693222</v>
      </c>
      <c r="AJ9" s="34">
        <f t="shared" si="2"/>
        <v>2.42693222</v>
      </c>
      <c r="AK9" s="34">
        <f t="shared" si="2"/>
        <v>2.42693222</v>
      </c>
    </row>
    <row r="10">
      <c r="A10" s="36"/>
    </row>
    <row r="11">
      <c r="A11" s="18" t="s">
        <v>14</v>
      </c>
      <c r="B11" s="19"/>
      <c r="C11" s="19"/>
      <c r="D11" s="19"/>
      <c r="E11" s="19"/>
      <c r="F11" s="19"/>
      <c r="G11" s="19"/>
      <c r="H11" s="20"/>
      <c r="I11" s="20"/>
      <c r="J11" s="20"/>
      <c r="K11" s="20"/>
      <c r="L11" s="21"/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</row>
    <row r="12">
      <c r="A12" s="23" t="s">
        <v>15</v>
      </c>
      <c r="B12" s="24">
        <v>3.0</v>
      </c>
      <c r="C12" s="24">
        <v>3.0</v>
      </c>
      <c r="D12" s="24">
        <v>3.0</v>
      </c>
      <c r="E12" s="24">
        <v>3.0</v>
      </c>
      <c r="F12" s="24">
        <v>3.0</v>
      </c>
      <c r="G12" s="24">
        <v>3.0</v>
      </c>
      <c r="H12" s="38">
        <v>25.0</v>
      </c>
      <c r="I12" s="38">
        <v>29.2</v>
      </c>
      <c r="J12" s="38">
        <v>25.0</v>
      </c>
      <c r="K12" s="38">
        <v>25.0</v>
      </c>
      <c r="L12" s="38">
        <v>25.0</v>
      </c>
      <c r="M12" s="38">
        <v>25.0</v>
      </c>
      <c r="N12" s="26">
        <v>80.16</v>
      </c>
      <c r="O12" s="26">
        <v>113.64</v>
      </c>
      <c r="P12" s="26">
        <v>86.12</v>
      </c>
      <c r="Q12" s="26">
        <v>102.43</v>
      </c>
      <c r="R12" s="26">
        <v>83.4</v>
      </c>
      <c r="S12" s="26">
        <v>92.32</v>
      </c>
      <c r="T12" s="27">
        <v>45.5</v>
      </c>
      <c r="U12" s="27">
        <v>45.5</v>
      </c>
      <c r="V12" s="27">
        <v>45.5</v>
      </c>
      <c r="W12" s="27">
        <v>45.5</v>
      </c>
      <c r="X12" s="27">
        <v>45.5</v>
      </c>
      <c r="Y12" s="27">
        <v>45.5</v>
      </c>
      <c r="Z12" s="30">
        <v>85.46</v>
      </c>
      <c r="AA12" s="30">
        <v>109.78</v>
      </c>
      <c r="AB12" s="30">
        <v>139.0</v>
      </c>
      <c r="AC12" s="30">
        <v>148.27</v>
      </c>
      <c r="AD12" s="30">
        <v>162.8</v>
      </c>
      <c r="AE12" s="30">
        <v>167.7</v>
      </c>
      <c r="AF12" s="29">
        <v>282.56</v>
      </c>
      <c r="AG12" s="29">
        <v>282.57</v>
      </c>
      <c r="AH12" s="29">
        <v>282.57</v>
      </c>
      <c r="AI12" s="29">
        <v>282.57</v>
      </c>
      <c r="AJ12" s="29">
        <v>282.57</v>
      </c>
      <c r="AK12" s="29">
        <v>323.3</v>
      </c>
    </row>
    <row r="13">
      <c r="A13" s="23" t="s">
        <v>16</v>
      </c>
      <c r="B13" s="24">
        <v>3.0</v>
      </c>
      <c r="C13" s="24">
        <v>3.0</v>
      </c>
      <c r="D13" s="24">
        <v>3.0</v>
      </c>
      <c r="E13" s="24">
        <v>3.0</v>
      </c>
      <c r="F13" s="24">
        <v>3.0</v>
      </c>
      <c r="G13" s="24">
        <v>3.0</v>
      </c>
      <c r="H13" s="38">
        <v>25.0</v>
      </c>
      <c r="I13" s="38">
        <v>40.0</v>
      </c>
      <c r="J13" s="38">
        <v>50.0</v>
      </c>
      <c r="K13" s="38">
        <v>25.0</v>
      </c>
      <c r="L13" s="38">
        <v>25.0</v>
      </c>
      <c r="M13" s="38">
        <v>25.0</v>
      </c>
      <c r="N13" s="26">
        <v>82.47</v>
      </c>
      <c r="O13" s="26">
        <v>116.54</v>
      </c>
      <c r="P13" s="26">
        <v>81.41</v>
      </c>
      <c r="Q13" s="26">
        <v>103.15</v>
      </c>
      <c r="R13" s="26">
        <v>81.18</v>
      </c>
      <c r="S13" s="26">
        <v>92.77</v>
      </c>
      <c r="T13" s="27">
        <v>45.5</v>
      </c>
      <c r="U13" s="27">
        <v>45.5</v>
      </c>
      <c r="V13" s="27">
        <v>45.5</v>
      </c>
      <c r="W13" s="27">
        <v>45.5</v>
      </c>
      <c r="X13" s="27">
        <v>45.5</v>
      </c>
      <c r="Y13" s="27">
        <v>45.5</v>
      </c>
      <c r="Z13" s="30">
        <v>84.75</v>
      </c>
      <c r="AA13" s="30">
        <v>109.8</v>
      </c>
      <c r="AB13" s="30">
        <v>138.84</v>
      </c>
      <c r="AC13" s="30">
        <v>148.31</v>
      </c>
      <c r="AD13" s="30">
        <v>162.76</v>
      </c>
      <c r="AE13" s="30">
        <v>167.47</v>
      </c>
      <c r="AF13" s="29">
        <v>282.4</v>
      </c>
      <c r="AG13" s="29">
        <v>282.4</v>
      </c>
      <c r="AH13" s="29">
        <v>282.4</v>
      </c>
      <c r="AI13" s="29">
        <v>282.4</v>
      </c>
      <c r="AJ13" s="29">
        <v>282.4</v>
      </c>
      <c r="AK13" s="29">
        <v>282.4</v>
      </c>
    </row>
    <row r="14">
      <c r="A14" s="23" t="s">
        <v>17</v>
      </c>
      <c r="B14" s="24">
        <v>3.0</v>
      </c>
      <c r="C14" s="24">
        <v>3.0</v>
      </c>
      <c r="D14" s="24">
        <v>3.0</v>
      </c>
      <c r="E14" s="24">
        <v>3.0</v>
      </c>
      <c r="F14" s="24">
        <v>3.0</v>
      </c>
      <c r="G14" s="24">
        <v>3.0</v>
      </c>
      <c r="H14" s="38">
        <v>50.0</v>
      </c>
      <c r="I14" s="38">
        <v>50.0</v>
      </c>
      <c r="J14" s="38">
        <v>25.0</v>
      </c>
      <c r="K14" s="38">
        <v>50.0</v>
      </c>
      <c r="L14" s="38">
        <v>25.0</v>
      </c>
      <c r="M14" s="38">
        <v>50.0</v>
      </c>
      <c r="N14" s="26">
        <v>83.74</v>
      </c>
      <c r="O14" s="26">
        <v>116.46</v>
      </c>
      <c r="P14" s="26">
        <v>85.81</v>
      </c>
      <c r="Q14" s="26">
        <v>103.87</v>
      </c>
      <c r="R14" s="26">
        <v>83.21</v>
      </c>
      <c r="S14" s="26">
        <v>93.43</v>
      </c>
      <c r="T14" s="27">
        <v>45.5</v>
      </c>
      <c r="U14" s="27">
        <v>45.5</v>
      </c>
      <c r="V14" s="27">
        <v>45.5</v>
      </c>
      <c r="W14" s="27">
        <v>45.5</v>
      </c>
      <c r="X14" s="27">
        <v>45.5</v>
      </c>
      <c r="Y14" s="27">
        <v>45.5</v>
      </c>
      <c r="Z14" s="30">
        <v>89.02</v>
      </c>
      <c r="AA14" s="30">
        <v>105.52</v>
      </c>
      <c r="AB14" s="30">
        <v>134.56</v>
      </c>
      <c r="AC14" s="30">
        <v>144.27</v>
      </c>
      <c r="AD14" s="30">
        <v>158.88</v>
      </c>
      <c r="AE14" s="30">
        <v>163.67</v>
      </c>
      <c r="AF14" s="29">
        <v>286.7</v>
      </c>
      <c r="AG14" s="29">
        <v>286.7</v>
      </c>
      <c r="AH14" s="29">
        <v>286.7</v>
      </c>
      <c r="AI14" s="29">
        <v>286.7</v>
      </c>
      <c r="AJ14" s="29">
        <v>286.7</v>
      </c>
      <c r="AK14" s="29">
        <v>286.7</v>
      </c>
    </row>
    <row r="15">
      <c r="A15" s="31" t="s">
        <v>12</v>
      </c>
      <c r="B15" s="32">
        <f t="shared" ref="B15:AK15" si="3">MEDIAN(B12:B14)</f>
        <v>3</v>
      </c>
      <c r="C15" s="32">
        <f t="shared" si="3"/>
        <v>3</v>
      </c>
      <c r="D15" s="32">
        <f t="shared" si="3"/>
        <v>3</v>
      </c>
      <c r="E15" s="32">
        <f t="shared" si="3"/>
        <v>3</v>
      </c>
      <c r="F15" s="32">
        <f t="shared" si="3"/>
        <v>3</v>
      </c>
      <c r="G15" s="32">
        <f t="shared" si="3"/>
        <v>3</v>
      </c>
      <c r="H15" s="32">
        <f t="shared" si="3"/>
        <v>25</v>
      </c>
      <c r="I15" s="32">
        <f t="shared" si="3"/>
        <v>40</v>
      </c>
      <c r="J15" s="32">
        <f t="shared" si="3"/>
        <v>25</v>
      </c>
      <c r="K15" s="32">
        <f t="shared" si="3"/>
        <v>25</v>
      </c>
      <c r="L15" s="32">
        <f t="shared" si="3"/>
        <v>25</v>
      </c>
      <c r="M15" s="32">
        <f t="shared" si="3"/>
        <v>25</v>
      </c>
      <c r="N15" s="32">
        <f t="shared" si="3"/>
        <v>82.47</v>
      </c>
      <c r="O15" s="32">
        <f t="shared" si="3"/>
        <v>116.46</v>
      </c>
      <c r="P15" s="32">
        <f t="shared" si="3"/>
        <v>85.81</v>
      </c>
      <c r="Q15" s="32">
        <f t="shared" si="3"/>
        <v>103.15</v>
      </c>
      <c r="R15" s="32">
        <f t="shared" si="3"/>
        <v>83.21</v>
      </c>
      <c r="S15" s="32">
        <f t="shared" si="3"/>
        <v>92.77</v>
      </c>
      <c r="T15" s="32">
        <f t="shared" si="3"/>
        <v>45.5</v>
      </c>
      <c r="U15" s="32">
        <f t="shared" si="3"/>
        <v>45.5</v>
      </c>
      <c r="V15" s="32">
        <f t="shared" si="3"/>
        <v>45.5</v>
      </c>
      <c r="W15" s="32">
        <f t="shared" si="3"/>
        <v>45.5</v>
      </c>
      <c r="X15" s="32">
        <f t="shared" si="3"/>
        <v>45.5</v>
      </c>
      <c r="Y15" s="32">
        <f t="shared" si="3"/>
        <v>45.5</v>
      </c>
      <c r="Z15" s="32">
        <f t="shared" si="3"/>
        <v>85.46</v>
      </c>
      <c r="AA15" s="32">
        <f t="shared" si="3"/>
        <v>109.78</v>
      </c>
      <c r="AB15" s="32">
        <f t="shared" si="3"/>
        <v>138.84</v>
      </c>
      <c r="AC15" s="32">
        <f t="shared" si="3"/>
        <v>148.27</v>
      </c>
      <c r="AD15" s="32">
        <f t="shared" si="3"/>
        <v>162.76</v>
      </c>
      <c r="AE15" s="32">
        <f t="shared" si="3"/>
        <v>167.47</v>
      </c>
      <c r="AF15" s="32">
        <f t="shared" si="3"/>
        <v>282.56</v>
      </c>
      <c r="AG15" s="32">
        <f t="shared" si="3"/>
        <v>282.57</v>
      </c>
      <c r="AH15" s="32">
        <f t="shared" si="3"/>
        <v>282.57</v>
      </c>
      <c r="AI15" s="32">
        <f t="shared" si="3"/>
        <v>282.57</v>
      </c>
      <c r="AJ15" s="32">
        <f t="shared" si="3"/>
        <v>282.57</v>
      </c>
      <c r="AK15" s="32">
        <f t="shared" si="3"/>
        <v>286.7</v>
      </c>
    </row>
    <row r="16">
      <c r="A16" s="31" t="s">
        <v>13</v>
      </c>
      <c r="B16" s="84">
        <f t="shared" ref="B16:AK16" si="4">STDEV(B12:B14)</f>
        <v>0</v>
      </c>
      <c r="C16" s="84">
        <f t="shared" si="4"/>
        <v>0</v>
      </c>
      <c r="D16" s="84">
        <f t="shared" si="4"/>
        <v>0</v>
      </c>
      <c r="E16" s="84">
        <f t="shared" si="4"/>
        <v>0</v>
      </c>
      <c r="F16" s="84">
        <f t="shared" si="4"/>
        <v>0</v>
      </c>
      <c r="G16" s="84">
        <f t="shared" si="4"/>
        <v>0</v>
      </c>
      <c r="H16" s="33">
        <f t="shared" si="4"/>
        <v>14.43375673</v>
      </c>
      <c r="I16" s="33">
        <f t="shared" si="4"/>
        <v>10.40256379</v>
      </c>
      <c r="J16" s="33">
        <f t="shared" si="4"/>
        <v>14.43375673</v>
      </c>
      <c r="K16" s="33">
        <f t="shared" si="4"/>
        <v>14.43375673</v>
      </c>
      <c r="L16" s="33">
        <f t="shared" si="4"/>
        <v>0</v>
      </c>
      <c r="M16" s="33">
        <f t="shared" si="4"/>
        <v>14.43375673</v>
      </c>
      <c r="N16" s="34">
        <f t="shared" si="4"/>
        <v>1.815002296</v>
      </c>
      <c r="O16" s="34">
        <f t="shared" si="4"/>
        <v>1.651706189</v>
      </c>
      <c r="P16" s="34">
        <f t="shared" si="4"/>
        <v>2.634394301</v>
      </c>
      <c r="Q16" s="34">
        <f t="shared" si="4"/>
        <v>0.72</v>
      </c>
      <c r="R16" s="34">
        <f t="shared" si="4"/>
        <v>1.230541886</v>
      </c>
      <c r="S16" s="34">
        <f t="shared" si="4"/>
        <v>0.5583009941</v>
      </c>
      <c r="T16" s="35">
        <f t="shared" si="4"/>
        <v>0</v>
      </c>
      <c r="U16" s="35">
        <f t="shared" si="4"/>
        <v>0</v>
      </c>
      <c r="V16" s="35">
        <f t="shared" si="4"/>
        <v>0</v>
      </c>
      <c r="W16" s="35">
        <f t="shared" si="4"/>
        <v>0</v>
      </c>
      <c r="X16" s="35">
        <f t="shared" si="4"/>
        <v>0</v>
      </c>
      <c r="Y16" s="35">
        <f t="shared" si="4"/>
        <v>0</v>
      </c>
      <c r="Z16" s="34">
        <f t="shared" si="4"/>
        <v>2.288034091</v>
      </c>
      <c r="AA16" s="34">
        <f t="shared" si="4"/>
        <v>2.465305931</v>
      </c>
      <c r="AB16" s="34">
        <f t="shared" si="4"/>
        <v>2.518518083</v>
      </c>
      <c r="AC16" s="34">
        <f t="shared" si="4"/>
        <v>2.321034252</v>
      </c>
      <c r="AD16" s="34">
        <f t="shared" si="4"/>
        <v>2.251754871</v>
      </c>
      <c r="AE16" s="34">
        <f t="shared" si="4"/>
        <v>2.263249876</v>
      </c>
      <c r="AF16" s="34">
        <f t="shared" si="4"/>
        <v>2.437731186</v>
      </c>
      <c r="AG16" s="34">
        <f t="shared" si="4"/>
        <v>2.4350154</v>
      </c>
      <c r="AH16" s="34">
        <f t="shared" si="4"/>
        <v>2.4350154</v>
      </c>
      <c r="AI16" s="34">
        <f t="shared" si="4"/>
        <v>2.4350154</v>
      </c>
      <c r="AJ16" s="34">
        <f t="shared" si="4"/>
        <v>2.4350154</v>
      </c>
      <c r="AK16" s="34">
        <f t="shared" si="4"/>
        <v>22.47539395</v>
      </c>
    </row>
    <row r="17">
      <c r="A17" s="36"/>
    </row>
    <row r="18">
      <c r="A18" s="18" t="s">
        <v>18</v>
      </c>
      <c r="B18" s="19"/>
      <c r="C18" s="19"/>
      <c r="D18" s="19"/>
      <c r="E18" s="19"/>
      <c r="F18" s="19"/>
      <c r="G18" s="19"/>
      <c r="H18" s="20"/>
      <c r="I18" s="20"/>
      <c r="J18" s="20"/>
      <c r="K18" s="20"/>
      <c r="L18" s="21"/>
      <c r="M18" s="21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</row>
    <row r="19">
      <c r="A19" s="23" t="s">
        <v>19</v>
      </c>
      <c r="B19" s="24">
        <v>3.0</v>
      </c>
      <c r="C19" s="24">
        <v>3.0</v>
      </c>
      <c r="D19" s="24">
        <v>3.0</v>
      </c>
      <c r="E19" s="24">
        <v>3.0</v>
      </c>
      <c r="F19" s="24">
        <v>3.0</v>
      </c>
      <c r="G19" s="24">
        <v>3.0</v>
      </c>
      <c r="H19" s="38">
        <v>25.0</v>
      </c>
      <c r="I19" s="38">
        <v>25.0</v>
      </c>
      <c r="J19" s="38">
        <v>25.0</v>
      </c>
      <c r="K19" s="38">
        <v>50.0</v>
      </c>
      <c r="L19" s="38">
        <v>50.0</v>
      </c>
      <c r="M19" s="38">
        <v>25.0</v>
      </c>
      <c r="N19" s="26">
        <v>85.38</v>
      </c>
      <c r="O19" s="26">
        <v>113.79</v>
      </c>
      <c r="P19" s="26">
        <v>83.0</v>
      </c>
      <c r="Q19" s="26">
        <v>100.25</v>
      </c>
      <c r="R19" s="26">
        <v>85.42</v>
      </c>
      <c r="S19" s="26">
        <v>92.95</v>
      </c>
      <c r="T19" s="27">
        <v>45.5</v>
      </c>
      <c r="U19" s="27">
        <v>45.5</v>
      </c>
      <c r="V19" s="27">
        <v>45.5</v>
      </c>
      <c r="W19" s="27">
        <v>45.5</v>
      </c>
      <c r="X19" s="27">
        <v>45.5</v>
      </c>
      <c r="Y19" s="27">
        <v>45.5</v>
      </c>
      <c r="Z19" s="30">
        <v>175.25</v>
      </c>
      <c r="AA19" s="30">
        <v>192.52</v>
      </c>
      <c r="AB19" s="30">
        <v>221.54</v>
      </c>
      <c r="AC19" s="30">
        <v>230.31</v>
      </c>
      <c r="AD19" s="30">
        <v>245.02</v>
      </c>
      <c r="AE19" s="30">
        <v>249.9</v>
      </c>
      <c r="AF19" s="29">
        <v>323.3</v>
      </c>
      <c r="AG19" s="29">
        <v>323.3</v>
      </c>
      <c r="AH19" s="29">
        <v>323.3</v>
      </c>
      <c r="AI19" s="29">
        <v>323.3</v>
      </c>
      <c r="AJ19" s="29">
        <v>323.3</v>
      </c>
      <c r="AK19" s="29">
        <v>323.3</v>
      </c>
    </row>
    <row r="20">
      <c r="A20" s="23" t="s">
        <v>20</v>
      </c>
      <c r="B20" s="24">
        <v>3.0</v>
      </c>
      <c r="C20" s="24">
        <v>3.0</v>
      </c>
      <c r="D20" s="24">
        <v>3.0</v>
      </c>
      <c r="E20" s="24">
        <v>3.0</v>
      </c>
      <c r="F20" s="24">
        <v>3.0</v>
      </c>
      <c r="G20" s="24">
        <v>3.0</v>
      </c>
      <c r="H20" s="38">
        <v>25.0</v>
      </c>
      <c r="I20" s="38">
        <v>25.0</v>
      </c>
      <c r="J20" s="38">
        <v>33.3</v>
      </c>
      <c r="K20" s="38">
        <v>50.0</v>
      </c>
      <c r="L20" s="38">
        <v>25.0</v>
      </c>
      <c r="M20" s="38">
        <v>50.0</v>
      </c>
      <c r="N20" s="26">
        <v>81.57</v>
      </c>
      <c r="O20" s="26">
        <v>119.38</v>
      </c>
      <c r="P20" s="26">
        <v>85.1</v>
      </c>
      <c r="Q20" s="26">
        <v>102.43</v>
      </c>
      <c r="R20" s="26">
        <v>83.31</v>
      </c>
      <c r="S20" s="26">
        <v>91.14</v>
      </c>
      <c r="T20" s="27">
        <v>45.5</v>
      </c>
      <c r="U20" s="27">
        <v>45.5</v>
      </c>
      <c r="V20" s="27">
        <v>45.5</v>
      </c>
      <c r="W20" s="27">
        <v>45.5</v>
      </c>
      <c r="X20" s="27">
        <v>45.5</v>
      </c>
      <c r="Y20" s="27">
        <v>45.5</v>
      </c>
      <c r="Z20" s="30">
        <v>170.5</v>
      </c>
      <c r="AA20" s="30">
        <v>191.64</v>
      </c>
      <c r="AB20" s="30">
        <v>220.66</v>
      </c>
      <c r="AC20" s="30">
        <v>229.75</v>
      </c>
      <c r="AD20" s="30">
        <v>244.15</v>
      </c>
      <c r="AE20" s="30">
        <v>249.36</v>
      </c>
      <c r="AF20" s="29">
        <v>282.4</v>
      </c>
      <c r="AG20" s="29">
        <v>282.4</v>
      </c>
      <c r="AH20" s="29">
        <v>282.4</v>
      </c>
      <c r="AI20" s="29">
        <v>282.4</v>
      </c>
      <c r="AJ20" s="29">
        <v>282.4</v>
      </c>
      <c r="AK20" s="29">
        <v>282.4</v>
      </c>
    </row>
    <row r="21">
      <c r="A21" s="23" t="s">
        <v>21</v>
      </c>
      <c r="B21" s="24">
        <v>3.0</v>
      </c>
      <c r="C21" s="24">
        <v>3.0</v>
      </c>
      <c r="D21" s="24">
        <v>3.0</v>
      </c>
      <c r="E21" s="24">
        <v>3.0</v>
      </c>
      <c r="F21" s="24">
        <v>3.0</v>
      </c>
      <c r="G21" s="24">
        <v>3.0</v>
      </c>
      <c r="H21" s="38">
        <v>50.0</v>
      </c>
      <c r="I21" s="38">
        <v>25.0</v>
      </c>
      <c r="J21" s="38">
        <v>20.0</v>
      </c>
      <c r="K21" s="38">
        <v>25.0</v>
      </c>
      <c r="L21" s="38">
        <v>25.0</v>
      </c>
      <c r="M21" s="38">
        <v>25.0</v>
      </c>
      <c r="N21" s="26">
        <v>86.69</v>
      </c>
      <c r="O21" s="26">
        <v>115.39</v>
      </c>
      <c r="P21" s="26">
        <v>82.37</v>
      </c>
      <c r="Q21" s="26">
        <v>102.82</v>
      </c>
      <c r="R21" s="26">
        <v>84.1</v>
      </c>
      <c r="S21" s="26">
        <v>90.17</v>
      </c>
      <c r="T21" s="27">
        <v>45.5</v>
      </c>
      <c r="U21" s="27">
        <v>45.5</v>
      </c>
      <c r="V21" s="27">
        <v>45.5</v>
      </c>
      <c r="W21" s="27">
        <v>45.5</v>
      </c>
      <c r="X21" s="27">
        <v>45.5</v>
      </c>
      <c r="Y21" s="27">
        <v>45.5</v>
      </c>
      <c r="Z21" s="30">
        <v>171.04</v>
      </c>
      <c r="AA21" s="30">
        <v>187.32</v>
      </c>
      <c r="AB21" s="30">
        <v>217.11</v>
      </c>
      <c r="AC21" s="30">
        <v>225.23</v>
      </c>
      <c r="AD21" s="30">
        <v>240.38</v>
      </c>
      <c r="AE21" s="30">
        <v>245.01</v>
      </c>
      <c r="AF21" s="29">
        <v>286.7</v>
      </c>
      <c r="AG21" s="29">
        <v>286.7</v>
      </c>
      <c r="AH21" s="29">
        <v>286.7</v>
      </c>
      <c r="AI21" s="29">
        <v>286.7</v>
      </c>
      <c r="AJ21" s="29">
        <v>286.7</v>
      </c>
      <c r="AK21" s="29">
        <v>286.7</v>
      </c>
    </row>
    <row r="22">
      <c r="A22" s="31" t="s">
        <v>12</v>
      </c>
      <c r="B22" s="32">
        <f t="shared" ref="B22:AK22" si="5">MEDIAN(B19:B21)</f>
        <v>3</v>
      </c>
      <c r="C22" s="32">
        <f t="shared" si="5"/>
        <v>3</v>
      </c>
      <c r="D22" s="32">
        <f t="shared" si="5"/>
        <v>3</v>
      </c>
      <c r="E22" s="32">
        <f t="shared" si="5"/>
        <v>3</v>
      </c>
      <c r="F22" s="32">
        <f t="shared" si="5"/>
        <v>3</v>
      </c>
      <c r="G22" s="32">
        <f t="shared" si="5"/>
        <v>3</v>
      </c>
      <c r="H22" s="32">
        <f t="shared" si="5"/>
        <v>25</v>
      </c>
      <c r="I22" s="32">
        <f t="shared" si="5"/>
        <v>25</v>
      </c>
      <c r="J22" s="32">
        <f t="shared" si="5"/>
        <v>25</v>
      </c>
      <c r="K22" s="32">
        <f t="shared" si="5"/>
        <v>50</v>
      </c>
      <c r="L22" s="32">
        <f t="shared" si="5"/>
        <v>25</v>
      </c>
      <c r="M22" s="32">
        <f t="shared" si="5"/>
        <v>25</v>
      </c>
      <c r="N22" s="32">
        <f t="shared" si="5"/>
        <v>85.38</v>
      </c>
      <c r="O22" s="32">
        <f t="shared" si="5"/>
        <v>115.39</v>
      </c>
      <c r="P22" s="32">
        <f t="shared" si="5"/>
        <v>83</v>
      </c>
      <c r="Q22" s="32">
        <f t="shared" si="5"/>
        <v>102.43</v>
      </c>
      <c r="R22" s="32">
        <f t="shared" si="5"/>
        <v>84.1</v>
      </c>
      <c r="S22" s="32">
        <f t="shared" si="5"/>
        <v>91.14</v>
      </c>
      <c r="T22" s="32">
        <f t="shared" si="5"/>
        <v>45.5</v>
      </c>
      <c r="U22" s="32">
        <f t="shared" si="5"/>
        <v>45.5</v>
      </c>
      <c r="V22" s="32">
        <f t="shared" si="5"/>
        <v>45.5</v>
      </c>
      <c r="W22" s="32">
        <f t="shared" si="5"/>
        <v>45.5</v>
      </c>
      <c r="X22" s="32">
        <f t="shared" si="5"/>
        <v>45.5</v>
      </c>
      <c r="Y22" s="32">
        <f t="shared" si="5"/>
        <v>45.5</v>
      </c>
      <c r="Z22" s="32">
        <f t="shared" si="5"/>
        <v>171.04</v>
      </c>
      <c r="AA22" s="32">
        <f t="shared" si="5"/>
        <v>191.64</v>
      </c>
      <c r="AB22" s="32">
        <f t="shared" si="5"/>
        <v>220.66</v>
      </c>
      <c r="AC22" s="32">
        <f t="shared" si="5"/>
        <v>229.75</v>
      </c>
      <c r="AD22" s="32">
        <f t="shared" si="5"/>
        <v>244.15</v>
      </c>
      <c r="AE22" s="32">
        <f t="shared" si="5"/>
        <v>249.36</v>
      </c>
      <c r="AF22" s="32">
        <f t="shared" si="5"/>
        <v>286.7</v>
      </c>
      <c r="AG22" s="32">
        <f t="shared" si="5"/>
        <v>286.7</v>
      </c>
      <c r="AH22" s="32">
        <f t="shared" si="5"/>
        <v>286.7</v>
      </c>
      <c r="AI22" s="32">
        <f t="shared" si="5"/>
        <v>286.7</v>
      </c>
      <c r="AJ22" s="32">
        <f t="shared" si="5"/>
        <v>286.7</v>
      </c>
      <c r="AK22" s="32">
        <f t="shared" si="5"/>
        <v>286.7</v>
      </c>
    </row>
    <row r="23">
      <c r="A23" s="31" t="s">
        <v>13</v>
      </c>
      <c r="B23" s="84">
        <f t="shared" ref="B23:AK23" si="6">STDEV(B19:B21)</f>
        <v>0</v>
      </c>
      <c r="C23" s="84">
        <f t="shared" si="6"/>
        <v>0</v>
      </c>
      <c r="D23" s="84">
        <f t="shared" si="6"/>
        <v>0</v>
      </c>
      <c r="E23" s="84">
        <f t="shared" si="6"/>
        <v>0</v>
      </c>
      <c r="F23" s="84">
        <f t="shared" si="6"/>
        <v>0</v>
      </c>
      <c r="G23" s="84">
        <f t="shared" si="6"/>
        <v>0</v>
      </c>
      <c r="H23" s="33">
        <f t="shared" si="6"/>
        <v>14.43375673</v>
      </c>
      <c r="I23" s="33">
        <f t="shared" si="6"/>
        <v>0</v>
      </c>
      <c r="J23" s="33">
        <f t="shared" si="6"/>
        <v>6.717886572</v>
      </c>
      <c r="K23" s="33">
        <f t="shared" si="6"/>
        <v>14.43375673</v>
      </c>
      <c r="L23" s="33">
        <f t="shared" si="6"/>
        <v>14.43375673</v>
      </c>
      <c r="M23" s="33">
        <f t="shared" si="6"/>
        <v>14.43375673</v>
      </c>
      <c r="N23" s="34">
        <f t="shared" si="6"/>
        <v>2.659780693</v>
      </c>
      <c r="O23" s="34">
        <f t="shared" si="6"/>
        <v>2.878894464</v>
      </c>
      <c r="P23" s="34">
        <f t="shared" si="6"/>
        <v>1.42944045</v>
      </c>
      <c r="Q23" s="34">
        <f t="shared" si="6"/>
        <v>1.385003008</v>
      </c>
      <c r="R23" s="34">
        <f t="shared" si="6"/>
        <v>1.066036272</v>
      </c>
      <c r="S23" s="34">
        <f t="shared" si="6"/>
        <v>1.410992558</v>
      </c>
      <c r="T23" s="35">
        <f t="shared" si="6"/>
        <v>0</v>
      </c>
      <c r="U23" s="35">
        <f t="shared" si="6"/>
        <v>0</v>
      </c>
      <c r="V23" s="35">
        <f t="shared" si="6"/>
        <v>0</v>
      </c>
      <c r="W23" s="35">
        <f t="shared" si="6"/>
        <v>0</v>
      </c>
      <c r="X23" s="35">
        <f t="shared" si="6"/>
        <v>0</v>
      </c>
      <c r="Y23" s="35">
        <f t="shared" si="6"/>
        <v>0</v>
      </c>
      <c r="Z23" s="34">
        <f t="shared" si="6"/>
        <v>2.600583268</v>
      </c>
      <c r="AA23" s="34">
        <f t="shared" si="6"/>
        <v>2.783187621</v>
      </c>
      <c r="AB23" s="34">
        <f t="shared" si="6"/>
        <v>2.345271839</v>
      </c>
      <c r="AC23" s="34">
        <f t="shared" si="6"/>
        <v>2.785390457</v>
      </c>
      <c r="AD23" s="34">
        <f t="shared" si="6"/>
        <v>2.466421159</v>
      </c>
      <c r="AE23" s="34">
        <f t="shared" si="6"/>
        <v>2.680988624</v>
      </c>
      <c r="AF23" s="34">
        <f t="shared" si="6"/>
        <v>22.47539395</v>
      </c>
      <c r="AG23" s="34">
        <f t="shared" si="6"/>
        <v>22.47539395</v>
      </c>
      <c r="AH23" s="34">
        <f t="shared" si="6"/>
        <v>22.47539395</v>
      </c>
      <c r="AI23" s="34">
        <f t="shared" si="6"/>
        <v>22.47539395</v>
      </c>
      <c r="AJ23" s="34">
        <f t="shared" si="6"/>
        <v>22.47539395</v>
      </c>
      <c r="AK23" s="34">
        <f t="shared" si="6"/>
        <v>22.47539395</v>
      </c>
    </row>
    <row r="24">
      <c r="A24" s="36"/>
    </row>
    <row r="25">
      <c r="A25" s="18" t="s">
        <v>22</v>
      </c>
      <c r="B25" s="19"/>
      <c r="C25" s="19"/>
      <c r="D25" s="19"/>
      <c r="E25" s="19"/>
      <c r="F25" s="19"/>
      <c r="G25" s="19"/>
      <c r="H25" s="20"/>
      <c r="I25" s="20"/>
      <c r="J25" s="20"/>
      <c r="K25" s="20"/>
      <c r="L25" s="21"/>
      <c r="M25" s="21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>
      <c r="A26" s="23" t="s">
        <v>23</v>
      </c>
      <c r="B26" s="24">
        <v>3.0</v>
      </c>
      <c r="C26" s="24">
        <v>3.0</v>
      </c>
      <c r="D26" s="24">
        <v>3.0</v>
      </c>
      <c r="E26" s="24">
        <v>3.0</v>
      </c>
      <c r="F26" s="24">
        <v>3.0</v>
      </c>
      <c r="G26" s="24">
        <v>3.0</v>
      </c>
      <c r="H26" s="25">
        <v>50.0</v>
      </c>
      <c r="I26" s="25">
        <v>50.0</v>
      </c>
      <c r="J26" s="25">
        <v>50.0</v>
      </c>
      <c r="K26" s="25">
        <v>25.0</v>
      </c>
      <c r="L26" s="25">
        <v>25.0</v>
      </c>
      <c r="M26" s="25">
        <v>25.0</v>
      </c>
      <c r="N26" s="26">
        <v>81.75</v>
      </c>
      <c r="O26" s="26">
        <v>121.41</v>
      </c>
      <c r="P26" s="26">
        <v>88.0</v>
      </c>
      <c r="Q26" s="26">
        <v>103.24</v>
      </c>
      <c r="R26" s="26">
        <v>88.29</v>
      </c>
      <c r="S26" s="26">
        <v>100.55</v>
      </c>
      <c r="T26" s="27">
        <v>41.2</v>
      </c>
      <c r="U26" s="27">
        <v>46.5</v>
      </c>
      <c r="V26" s="27">
        <v>46.5</v>
      </c>
      <c r="W26" s="27">
        <v>46.5</v>
      </c>
      <c r="X26" s="27">
        <v>46.5</v>
      </c>
      <c r="Y26" s="27">
        <v>46.5</v>
      </c>
      <c r="Z26" s="30">
        <v>12.99</v>
      </c>
      <c r="AA26" s="30">
        <v>26.63</v>
      </c>
      <c r="AB26" s="30">
        <v>55.12</v>
      </c>
      <c r="AC26" s="30">
        <v>61.91</v>
      </c>
      <c r="AD26" s="30">
        <v>76.14</v>
      </c>
      <c r="AE26" s="30">
        <v>79.68</v>
      </c>
      <c r="AF26" s="29">
        <v>140.6</v>
      </c>
      <c r="AG26" s="29">
        <v>288.5</v>
      </c>
      <c r="AH26" s="29">
        <v>292.3</v>
      </c>
      <c r="AI26" s="29">
        <v>292.3</v>
      </c>
      <c r="AJ26" s="29">
        <v>292.3</v>
      </c>
      <c r="AK26" s="29">
        <v>292.3</v>
      </c>
    </row>
    <row r="27">
      <c r="A27" s="23" t="s">
        <v>24</v>
      </c>
      <c r="B27" s="24">
        <v>3.0</v>
      </c>
      <c r="C27" s="24">
        <v>3.0</v>
      </c>
      <c r="D27" s="24">
        <v>3.0</v>
      </c>
      <c r="E27" s="24">
        <v>3.0</v>
      </c>
      <c r="F27" s="24">
        <v>3.0</v>
      </c>
      <c r="G27" s="24">
        <v>3.0</v>
      </c>
      <c r="H27" s="38">
        <v>50.0</v>
      </c>
      <c r="I27" s="38">
        <v>50.0</v>
      </c>
      <c r="J27" s="38">
        <v>50.0</v>
      </c>
      <c r="K27" s="38">
        <v>50.0</v>
      </c>
      <c r="L27" s="38">
        <v>50.0</v>
      </c>
      <c r="M27" s="38">
        <v>25.0</v>
      </c>
      <c r="N27" s="26">
        <v>88.43</v>
      </c>
      <c r="O27" s="26">
        <v>123.66</v>
      </c>
      <c r="P27" s="26">
        <v>89.73</v>
      </c>
      <c r="Q27" s="26">
        <v>107.31</v>
      </c>
      <c r="R27" s="26">
        <v>88.14</v>
      </c>
      <c r="S27" s="26">
        <v>99.5</v>
      </c>
      <c r="T27" s="27">
        <v>46.5</v>
      </c>
      <c r="U27" s="27">
        <v>46.5</v>
      </c>
      <c r="V27" s="27">
        <v>46.5</v>
      </c>
      <c r="W27" s="27">
        <v>46.5</v>
      </c>
      <c r="X27" s="27">
        <v>46.5</v>
      </c>
      <c r="Y27" s="27">
        <v>46.5</v>
      </c>
      <c r="Z27" s="30">
        <v>79.9</v>
      </c>
      <c r="AA27" s="30">
        <v>100.91</v>
      </c>
      <c r="AB27" s="30">
        <v>129.79</v>
      </c>
      <c r="AC27" s="30">
        <v>136.73</v>
      </c>
      <c r="AD27" s="30">
        <v>151.06</v>
      </c>
      <c r="AE27" s="30">
        <v>154.56</v>
      </c>
      <c r="AF27" s="29">
        <v>292.341</v>
      </c>
      <c r="AG27" s="29">
        <v>292.353</v>
      </c>
      <c r="AH27" s="29">
        <v>292.381</v>
      </c>
      <c r="AI27" s="29">
        <v>292.387</v>
      </c>
      <c r="AJ27" s="29">
        <v>292.401</v>
      </c>
      <c r="AK27" s="29">
        <v>292.404</v>
      </c>
    </row>
    <row r="28">
      <c r="A28" s="23" t="s">
        <v>25</v>
      </c>
      <c r="B28" s="24">
        <v>3.0</v>
      </c>
      <c r="C28" s="24">
        <v>3.0</v>
      </c>
      <c r="D28" s="24">
        <v>3.0</v>
      </c>
      <c r="E28" s="24">
        <v>3.0</v>
      </c>
      <c r="F28" s="24">
        <v>3.0</v>
      </c>
      <c r="G28" s="24">
        <v>3.0</v>
      </c>
      <c r="H28" s="38">
        <v>25.0</v>
      </c>
      <c r="I28" s="38">
        <v>25.0</v>
      </c>
      <c r="J28" s="38">
        <v>50.0</v>
      </c>
      <c r="K28" s="38">
        <v>50.0</v>
      </c>
      <c r="L28" s="38">
        <v>25.0</v>
      </c>
      <c r="M28" s="38">
        <v>50.0</v>
      </c>
      <c r="N28" s="26">
        <v>94.33</v>
      </c>
      <c r="O28" s="26">
        <v>123.45</v>
      </c>
      <c r="P28" s="26">
        <v>88.45</v>
      </c>
      <c r="Q28" s="26">
        <v>103.18</v>
      </c>
      <c r="R28" s="26">
        <v>88.44</v>
      </c>
      <c r="S28" s="26">
        <v>100.23</v>
      </c>
      <c r="T28" s="27">
        <v>46.5</v>
      </c>
      <c r="U28" s="27">
        <v>46.5</v>
      </c>
      <c r="V28" s="27">
        <v>46.5</v>
      </c>
      <c r="W28" s="27">
        <v>46.5</v>
      </c>
      <c r="X28" s="27">
        <v>46.5</v>
      </c>
      <c r="Y28" s="27">
        <v>46.5</v>
      </c>
      <c r="Z28" s="30">
        <v>162.04</v>
      </c>
      <c r="AA28" s="30">
        <v>174.1</v>
      </c>
      <c r="AB28" s="30">
        <v>202.87</v>
      </c>
      <c r="AC28" s="30">
        <v>211.13</v>
      </c>
      <c r="AD28" s="30">
        <v>225.64</v>
      </c>
      <c r="AE28" s="30">
        <v>230.43</v>
      </c>
      <c r="AF28" s="29">
        <v>292.412</v>
      </c>
      <c r="AG28" s="29">
        <v>292.423</v>
      </c>
      <c r="AH28" s="29">
        <v>292.452</v>
      </c>
      <c r="AI28" s="29">
        <v>292.457</v>
      </c>
      <c r="AJ28" s="29">
        <v>292.472</v>
      </c>
      <c r="AK28" s="29">
        <v>292.474</v>
      </c>
    </row>
    <row r="29">
      <c r="A29" s="31" t="s">
        <v>12</v>
      </c>
      <c r="B29" s="32">
        <f t="shared" ref="B29:AK29" si="7">MEDIAN(B26:B28)</f>
        <v>3</v>
      </c>
      <c r="C29" s="32">
        <f t="shared" si="7"/>
        <v>3</v>
      </c>
      <c r="D29" s="32">
        <f t="shared" si="7"/>
        <v>3</v>
      </c>
      <c r="E29" s="32">
        <f t="shared" si="7"/>
        <v>3</v>
      </c>
      <c r="F29" s="32">
        <f t="shared" si="7"/>
        <v>3</v>
      </c>
      <c r="G29" s="32">
        <f t="shared" si="7"/>
        <v>3</v>
      </c>
      <c r="H29" s="32">
        <f t="shared" si="7"/>
        <v>50</v>
      </c>
      <c r="I29" s="32">
        <f t="shared" si="7"/>
        <v>50</v>
      </c>
      <c r="J29" s="32">
        <f t="shared" si="7"/>
        <v>50</v>
      </c>
      <c r="K29" s="32">
        <f t="shared" si="7"/>
        <v>50</v>
      </c>
      <c r="L29" s="32">
        <f t="shared" si="7"/>
        <v>25</v>
      </c>
      <c r="M29" s="32">
        <f t="shared" si="7"/>
        <v>25</v>
      </c>
      <c r="N29" s="32">
        <f t="shared" si="7"/>
        <v>88.43</v>
      </c>
      <c r="O29" s="32">
        <f t="shared" si="7"/>
        <v>123.45</v>
      </c>
      <c r="P29" s="32">
        <f t="shared" si="7"/>
        <v>88.45</v>
      </c>
      <c r="Q29" s="32">
        <f t="shared" si="7"/>
        <v>103.24</v>
      </c>
      <c r="R29" s="32">
        <f t="shared" si="7"/>
        <v>88.29</v>
      </c>
      <c r="S29" s="32">
        <f t="shared" si="7"/>
        <v>100.23</v>
      </c>
      <c r="T29" s="32">
        <f t="shared" si="7"/>
        <v>46.5</v>
      </c>
      <c r="U29" s="32">
        <f t="shared" si="7"/>
        <v>46.5</v>
      </c>
      <c r="V29" s="32">
        <f t="shared" si="7"/>
        <v>46.5</v>
      </c>
      <c r="W29" s="32">
        <f t="shared" si="7"/>
        <v>46.5</v>
      </c>
      <c r="X29" s="32">
        <f t="shared" si="7"/>
        <v>46.5</v>
      </c>
      <c r="Y29" s="32">
        <f t="shared" si="7"/>
        <v>46.5</v>
      </c>
      <c r="Z29" s="32">
        <f t="shared" si="7"/>
        <v>79.9</v>
      </c>
      <c r="AA29" s="32">
        <f t="shared" si="7"/>
        <v>100.91</v>
      </c>
      <c r="AB29" s="32">
        <f t="shared" si="7"/>
        <v>129.79</v>
      </c>
      <c r="AC29" s="32">
        <f t="shared" si="7"/>
        <v>136.73</v>
      </c>
      <c r="AD29" s="32">
        <f t="shared" si="7"/>
        <v>151.06</v>
      </c>
      <c r="AE29" s="32">
        <f t="shared" si="7"/>
        <v>154.56</v>
      </c>
      <c r="AF29" s="32">
        <f t="shared" si="7"/>
        <v>292.341</v>
      </c>
      <c r="AG29" s="32">
        <f t="shared" si="7"/>
        <v>292.353</v>
      </c>
      <c r="AH29" s="32">
        <f t="shared" si="7"/>
        <v>292.381</v>
      </c>
      <c r="AI29" s="32">
        <f t="shared" si="7"/>
        <v>292.387</v>
      </c>
      <c r="AJ29" s="32">
        <f t="shared" si="7"/>
        <v>292.401</v>
      </c>
      <c r="AK29" s="32">
        <f t="shared" si="7"/>
        <v>292.404</v>
      </c>
    </row>
    <row r="30">
      <c r="A30" s="31" t="s">
        <v>13</v>
      </c>
      <c r="B30" s="84">
        <f t="shared" ref="B30:AK30" si="8">STDEV(B26:B28)</f>
        <v>0</v>
      </c>
      <c r="C30" s="84">
        <f t="shared" si="8"/>
        <v>0</v>
      </c>
      <c r="D30" s="84">
        <f t="shared" si="8"/>
        <v>0</v>
      </c>
      <c r="E30" s="84">
        <f t="shared" si="8"/>
        <v>0</v>
      </c>
      <c r="F30" s="84">
        <f t="shared" si="8"/>
        <v>0</v>
      </c>
      <c r="G30" s="84">
        <f t="shared" si="8"/>
        <v>0</v>
      </c>
      <c r="H30" s="33">
        <f t="shared" si="8"/>
        <v>14.43375673</v>
      </c>
      <c r="I30" s="33">
        <f t="shared" si="8"/>
        <v>14.43375673</v>
      </c>
      <c r="J30" s="33">
        <f t="shared" si="8"/>
        <v>0</v>
      </c>
      <c r="K30" s="33">
        <f t="shared" si="8"/>
        <v>14.43375673</v>
      </c>
      <c r="L30" s="33">
        <f t="shared" si="8"/>
        <v>14.43375673</v>
      </c>
      <c r="M30" s="33">
        <f t="shared" si="8"/>
        <v>14.43375673</v>
      </c>
      <c r="N30" s="34">
        <f t="shared" si="8"/>
        <v>6.294028916</v>
      </c>
      <c r="O30" s="34">
        <f t="shared" si="8"/>
        <v>1.242859606</v>
      </c>
      <c r="P30" s="34">
        <f t="shared" si="8"/>
        <v>0.8975707957</v>
      </c>
      <c r="Q30" s="34">
        <f t="shared" si="8"/>
        <v>2.367326199</v>
      </c>
      <c r="R30" s="34">
        <f t="shared" si="8"/>
        <v>0.15</v>
      </c>
      <c r="S30" s="34">
        <f t="shared" si="8"/>
        <v>0.5381759316</v>
      </c>
      <c r="T30" s="35">
        <f t="shared" si="8"/>
        <v>3.059956427</v>
      </c>
      <c r="U30" s="35">
        <f t="shared" si="8"/>
        <v>0</v>
      </c>
      <c r="V30" s="35">
        <f t="shared" si="8"/>
        <v>0</v>
      </c>
      <c r="W30" s="35">
        <f t="shared" si="8"/>
        <v>0</v>
      </c>
      <c r="X30" s="35">
        <f t="shared" si="8"/>
        <v>0</v>
      </c>
      <c r="Y30" s="35">
        <f t="shared" si="8"/>
        <v>0</v>
      </c>
      <c r="Z30" s="34">
        <f t="shared" si="8"/>
        <v>74.65457142</v>
      </c>
      <c r="AA30" s="34">
        <f t="shared" si="8"/>
        <v>73.73567138</v>
      </c>
      <c r="AB30" s="34">
        <f t="shared" si="8"/>
        <v>73.87642587</v>
      </c>
      <c r="AC30" s="34">
        <f t="shared" si="8"/>
        <v>74.61009851</v>
      </c>
      <c r="AD30" s="34">
        <f t="shared" si="8"/>
        <v>74.75006444</v>
      </c>
      <c r="AE30" s="34">
        <f t="shared" si="8"/>
        <v>75.37554179</v>
      </c>
      <c r="AF30" s="34">
        <f t="shared" si="8"/>
        <v>87.62821032</v>
      </c>
      <c r="AG30" s="34">
        <f t="shared" si="8"/>
        <v>2.24501069</v>
      </c>
      <c r="AH30" s="34">
        <f t="shared" si="8"/>
        <v>0.0760548048</v>
      </c>
      <c r="AI30" s="34">
        <f t="shared" si="8"/>
        <v>0.07865324744</v>
      </c>
      <c r="AJ30" s="34">
        <f t="shared" si="8"/>
        <v>0.08643494664</v>
      </c>
      <c r="AK30" s="34">
        <f t="shared" si="8"/>
        <v>0.08755188938</v>
      </c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AF31" s="36"/>
      <c r="AG31" s="36"/>
      <c r="AH31" s="36"/>
      <c r="AI31" s="36"/>
      <c r="AJ31" s="36"/>
      <c r="AK31" s="36"/>
    </row>
    <row r="32">
      <c r="A32" s="85" t="s">
        <v>137</v>
      </c>
      <c r="B32" s="86">
        <f t="shared" ref="B32:G32" si="9">MEDIAN(B8,B15,B22,B29)</f>
        <v>3</v>
      </c>
      <c r="C32" s="86">
        <f t="shared" si="9"/>
        <v>3</v>
      </c>
      <c r="D32" s="86">
        <f t="shared" si="9"/>
        <v>3</v>
      </c>
      <c r="E32" s="86">
        <f t="shared" si="9"/>
        <v>3</v>
      </c>
      <c r="F32" s="86">
        <f t="shared" si="9"/>
        <v>3</v>
      </c>
      <c r="G32" s="86">
        <f t="shared" si="9"/>
        <v>3</v>
      </c>
      <c r="H32" s="86">
        <f t="shared" ref="H32:AK32" si="10">MEDIAN(H8,H15,H22)</f>
        <v>25</v>
      </c>
      <c r="I32" s="86">
        <f t="shared" si="10"/>
        <v>36.7</v>
      </c>
      <c r="J32" s="86">
        <f t="shared" si="10"/>
        <v>25</v>
      </c>
      <c r="K32" s="86">
        <f t="shared" si="10"/>
        <v>25</v>
      </c>
      <c r="L32" s="86">
        <f t="shared" si="10"/>
        <v>25</v>
      </c>
      <c r="M32" s="86">
        <f t="shared" si="10"/>
        <v>25</v>
      </c>
      <c r="N32" s="86">
        <f t="shared" si="10"/>
        <v>82.47</v>
      </c>
      <c r="O32" s="86">
        <f t="shared" si="10"/>
        <v>116.16</v>
      </c>
      <c r="P32" s="86">
        <f t="shared" si="10"/>
        <v>83</v>
      </c>
      <c r="Q32" s="86">
        <f t="shared" si="10"/>
        <v>102.43</v>
      </c>
      <c r="R32" s="86">
        <f t="shared" si="10"/>
        <v>83.21</v>
      </c>
      <c r="S32" s="86">
        <f t="shared" si="10"/>
        <v>91.14</v>
      </c>
      <c r="T32" s="86">
        <f t="shared" si="10"/>
        <v>45.5</v>
      </c>
      <c r="U32" s="86">
        <f t="shared" si="10"/>
        <v>45.5</v>
      </c>
      <c r="V32" s="86">
        <f t="shared" si="10"/>
        <v>45.5</v>
      </c>
      <c r="W32" s="86">
        <f t="shared" si="10"/>
        <v>45.5</v>
      </c>
      <c r="X32" s="86">
        <f t="shared" si="10"/>
        <v>45.5</v>
      </c>
      <c r="Y32" s="86">
        <f t="shared" si="10"/>
        <v>45.5</v>
      </c>
      <c r="Z32" s="86">
        <f t="shared" si="10"/>
        <v>85.46</v>
      </c>
      <c r="AA32" s="86">
        <f t="shared" si="10"/>
        <v>109.78</v>
      </c>
      <c r="AB32" s="86">
        <f t="shared" si="10"/>
        <v>138.84</v>
      </c>
      <c r="AC32" s="86">
        <f t="shared" si="10"/>
        <v>148.27</v>
      </c>
      <c r="AD32" s="86">
        <f t="shared" si="10"/>
        <v>162.76</v>
      </c>
      <c r="AE32" s="86">
        <f t="shared" si="10"/>
        <v>167.47</v>
      </c>
      <c r="AF32" s="86">
        <f t="shared" si="10"/>
        <v>282.56</v>
      </c>
      <c r="AG32" s="86">
        <f t="shared" si="10"/>
        <v>282.57</v>
      </c>
      <c r="AH32" s="86">
        <f t="shared" si="10"/>
        <v>282.6</v>
      </c>
      <c r="AI32" s="86">
        <f t="shared" si="10"/>
        <v>282.6</v>
      </c>
      <c r="AJ32" s="86">
        <f t="shared" si="10"/>
        <v>282.6</v>
      </c>
      <c r="AK32" s="86">
        <f t="shared" si="10"/>
        <v>286.7</v>
      </c>
    </row>
    <row r="33">
      <c r="A33" s="85" t="s">
        <v>138</v>
      </c>
      <c r="B33" s="87">
        <f t="shared" ref="B33:G33" si="11">STDEV(B9,B16,B23,B30)</f>
        <v>0</v>
      </c>
      <c r="C33" s="87">
        <f t="shared" si="11"/>
        <v>0</v>
      </c>
      <c r="D33" s="87">
        <f t="shared" si="11"/>
        <v>0</v>
      </c>
      <c r="E33" s="87">
        <f t="shared" si="11"/>
        <v>0</v>
      </c>
      <c r="F33" s="87">
        <f t="shared" si="11"/>
        <v>0</v>
      </c>
      <c r="G33" s="87">
        <f t="shared" si="11"/>
        <v>0</v>
      </c>
      <c r="H33" s="88">
        <f t="shared" ref="H33:AK33" si="12">STDEV(H5:H7,H12:H14,H19:H21)</f>
        <v>12.52774698</v>
      </c>
      <c r="I33" s="88">
        <f t="shared" si="12"/>
        <v>10.62031596</v>
      </c>
      <c r="J33" s="88">
        <f t="shared" si="12"/>
        <v>8.936861865</v>
      </c>
      <c r="K33" s="88">
        <f t="shared" si="12"/>
        <v>12.24744871</v>
      </c>
      <c r="L33" s="88">
        <f t="shared" si="12"/>
        <v>8.333333333</v>
      </c>
      <c r="M33" s="88">
        <f t="shared" si="12"/>
        <v>12.61062163</v>
      </c>
      <c r="N33" s="88">
        <f t="shared" si="12"/>
        <v>2.286003305</v>
      </c>
      <c r="O33" s="88">
        <f t="shared" si="12"/>
        <v>1.861310023</v>
      </c>
      <c r="P33" s="88">
        <f t="shared" si="12"/>
        <v>2.312897413</v>
      </c>
      <c r="Q33" s="88">
        <f t="shared" si="12"/>
        <v>1.566291622</v>
      </c>
      <c r="R33" s="88">
        <f t="shared" si="12"/>
        <v>1.446041532</v>
      </c>
      <c r="S33" s="88">
        <f t="shared" si="12"/>
        <v>1.947780788</v>
      </c>
      <c r="T33" s="88">
        <f t="shared" si="12"/>
        <v>1.594347655</v>
      </c>
      <c r="U33" s="88">
        <f t="shared" si="12"/>
        <v>0</v>
      </c>
      <c r="V33" s="88">
        <f t="shared" si="12"/>
        <v>0.1666666667</v>
      </c>
      <c r="W33" s="88">
        <f t="shared" si="12"/>
        <v>0</v>
      </c>
      <c r="X33" s="88">
        <f t="shared" si="12"/>
        <v>0</v>
      </c>
      <c r="Y33" s="88">
        <f t="shared" si="12"/>
        <v>0</v>
      </c>
      <c r="Z33" s="88">
        <f t="shared" si="12"/>
        <v>70.924971</v>
      </c>
      <c r="AA33" s="88">
        <f t="shared" si="12"/>
        <v>71.17924009</v>
      </c>
      <c r="AB33" s="88">
        <f t="shared" si="12"/>
        <v>71.36724577</v>
      </c>
      <c r="AC33" s="88">
        <f t="shared" si="12"/>
        <v>71.04138514</v>
      </c>
      <c r="AD33" s="88">
        <f t="shared" si="12"/>
        <v>71.19024319</v>
      </c>
      <c r="AE33" s="88">
        <f t="shared" si="12"/>
        <v>71.24780683</v>
      </c>
      <c r="AF33" s="88">
        <f t="shared" si="12"/>
        <v>80.13335073</v>
      </c>
      <c r="AG33" s="88">
        <f t="shared" si="12"/>
        <v>13.85223668</v>
      </c>
      <c r="AH33" s="88">
        <f t="shared" si="12"/>
        <v>13.24131015</v>
      </c>
      <c r="AI33" s="88">
        <f t="shared" si="12"/>
        <v>13.23964543</v>
      </c>
      <c r="AJ33" s="88">
        <f t="shared" si="12"/>
        <v>13.23964543</v>
      </c>
      <c r="AK33" s="88">
        <f t="shared" si="12"/>
        <v>17.3221759</v>
      </c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AF34" s="36"/>
      <c r="AG34" s="36"/>
      <c r="AH34" s="36"/>
      <c r="AI34" s="36"/>
      <c r="AJ34" s="36"/>
      <c r="AK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AF35" s="36"/>
      <c r="AG35" s="36"/>
      <c r="AH35" s="36"/>
      <c r="AI35" s="36"/>
      <c r="AJ35" s="36"/>
      <c r="AK35" s="36"/>
    </row>
    <row r="36">
      <c r="A36" s="93" t="s">
        <v>147</v>
      </c>
      <c r="B36" s="93" t="s">
        <v>140</v>
      </c>
      <c r="C36" s="93" t="s">
        <v>141</v>
      </c>
      <c r="D36" s="93" t="s">
        <v>142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AF36" s="36"/>
      <c r="AG36" s="36"/>
      <c r="AH36" s="36"/>
      <c r="AI36" s="36"/>
      <c r="AJ36" s="36"/>
      <c r="AK36" s="36"/>
    </row>
    <row r="37">
      <c r="A37" s="94" t="s">
        <v>129</v>
      </c>
      <c r="B37" s="95">
        <f>SUM(B5:G7,B12:G14,B19:G21)</f>
        <v>162</v>
      </c>
      <c r="C37" s="94" t="s">
        <v>143</v>
      </c>
      <c r="D37" s="94" t="s">
        <v>143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AF37" s="36"/>
      <c r="AG37" s="36"/>
      <c r="AH37" s="36"/>
      <c r="AI37" s="36"/>
      <c r="AJ37" s="36"/>
      <c r="AK37" s="36"/>
    </row>
    <row r="38">
      <c r="A38" s="94" t="s">
        <v>130</v>
      </c>
      <c r="B38" s="94" t="s">
        <v>143</v>
      </c>
      <c r="C38" s="95">
        <f>MEDIAN(H32:M32)</f>
        <v>25</v>
      </c>
      <c r="D38" s="96">
        <f>STDEV(H5:M7,H12:M14,H19:M21)</f>
        <v>11.08821262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AF38" s="36"/>
      <c r="AG38" s="36"/>
      <c r="AH38" s="36"/>
      <c r="AI38" s="36"/>
      <c r="AJ38" s="36"/>
      <c r="AK38" s="36"/>
    </row>
    <row r="39">
      <c r="A39" s="94" t="s">
        <v>131</v>
      </c>
      <c r="B39" s="94" t="s">
        <v>143</v>
      </c>
      <c r="C39" s="95">
        <f>MEDIAN(N32:S32)</f>
        <v>87.175</v>
      </c>
      <c r="D39" s="97">
        <f>STDEV(N5:S7,N12:S14,N19:S21)</f>
        <v>12.66794077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AF39" s="36"/>
      <c r="AG39" s="36"/>
      <c r="AH39" s="36"/>
      <c r="AI39" s="36"/>
      <c r="AJ39" s="36"/>
      <c r="AK39" s="36"/>
    </row>
    <row r="40">
      <c r="A40" s="94" t="s">
        <v>144</v>
      </c>
      <c r="B40" s="94" t="s">
        <v>143</v>
      </c>
      <c r="C40" s="95">
        <f>MEDIAN(T32:Y32)</f>
        <v>45.5</v>
      </c>
      <c r="D40" s="96">
        <f>STDEV(T5:Y7,T12:Y14,T19:Y21)</f>
        <v>0.7344402738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AF40" s="36"/>
      <c r="AG40" s="36"/>
      <c r="AH40" s="36"/>
      <c r="AI40" s="36"/>
      <c r="AJ40" s="36"/>
      <c r="AK40" s="36"/>
    </row>
    <row r="41">
      <c r="A41" s="94" t="s">
        <v>133</v>
      </c>
      <c r="B41" s="94" t="s">
        <v>143</v>
      </c>
      <c r="C41" s="95">
        <f>MEDIAN(Z32:AE32)</f>
        <v>143.555</v>
      </c>
      <c r="D41" s="96">
        <f>STDEV(Z5:AE7,Z12:AE14,Z19:AE21)</f>
        <v>73.26383065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AF41" s="36"/>
      <c r="AG41" s="36"/>
      <c r="AH41" s="36"/>
      <c r="AI41" s="36"/>
      <c r="AJ41" s="36"/>
      <c r="AK41" s="36"/>
    </row>
    <row r="42">
      <c r="A42" s="94" t="s">
        <v>134</v>
      </c>
      <c r="B42" s="94" t="s">
        <v>143</v>
      </c>
      <c r="C42" s="95">
        <f>MEDIAN(AF32:AK32)</f>
        <v>282.6</v>
      </c>
      <c r="D42" s="96">
        <f>STDEV(AF5:AK7,AF12:AK14,AF19:AK21)</f>
        <v>38.68059407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AF42" s="36"/>
      <c r="AG42" s="36"/>
      <c r="AH42" s="36"/>
      <c r="AI42" s="36"/>
      <c r="AJ42" s="36"/>
      <c r="AK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AF43" s="36"/>
      <c r="AG43" s="36"/>
      <c r="AH43" s="36"/>
      <c r="AI43" s="36"/>
      <c r="AJ43" s="36"/>
      <c r="AK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AF44" s="36"/>
      <c r="AG44" s="36"/>
      <c r="AH44" s="36"/>
      <c r="AI44" s="36"/>
      <c r="AJ44" s="36"/>
      <c r="AK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AF45" s="36"/>
      <c r="AG45" s="36"/>
      <c r="AH45" s="36"/>
      <c r="AI45" s="36"/>
      <c r="AJ45" s="36"/>
      <c r="AK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AF46" s="36"/>
      <c r="AG46" s="36"/>
      <c r="AH46" s="36"/>
      <c r="AI46" s="36"/>
      <c r="AJ46" s="36"/>
      <c r="AK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AF47" s="36"/>
      <c r="AG47" s="36"/>
      <c r="AH47" s="36"/>
      <c r="AI47" s="36"/>
      <c r="AJ47" s="36"/>
      <c r="AK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AF48" s="36"/>
      <c r="AG48" s="36"/>
      <c r="AH48" s="36"/>
      <c r="AI48" s="36"/>
      <c r="AJ48" s="36"/>
      <c r="AK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AF49" s="36"/>
      <c r="AG49" s="36"/>
      <c r="AH49" s="36"/>
      <c r="AI49" s="36"/>
      <c r="AJ49" s="36"/>
      <c r="AK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AF50" s="36"/>
      <c r="AG50" s="36"/>
      <c r="AH50" s="36"/>
      <c r="AI50" s="36"/>
      <c r="AJ50" s="36"/>
      <c r="AK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AF51" s="36"/>
      <c r="AG51" s="36"/>
      <c r="AH51" s="36"/>
      <c r="AI51" s="36"/>
      <c r="AJ51" s="36"/>
      <c r="AK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AF52" s="36"/>
      <c r="AG52" s="36"/>
      <c r="AH52" s="36"/>
      <c r="AI52" s="36"/>
      <c r="AJ52" s="36"/>
      <c r="AK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AF53" s="36"/>
      <c r="AG53" s="36"/>
      <c r="AH53" s="36"/>
      <c r="AI53" s="36"/>
      <c r="AJ53" s="36"/>
      <c r="AK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AF54" s="36"/>
      <c r="AG54" s="36"/>
      <c r="AH54" s="36"/>
      <c r="AI54" s="36"/>
      <c r="AJ54" s="36"/>
      <c r="AK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AF55" s="36"/>
      <c r="AG55" s="36"/>
      <c r="AH55" s="36"/>
      <c r="AI55" s="36"/>
      <c r="AJ55" s="36"/>
      <c r="AK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AF56" s="36"/>
      <c r="AG56" s="36"/>
      <c r="AH56" s="36"/>
      <c r="AI56" s="36"/>
      <c r="AJ56" s="36"/>
      <c r="AK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AF57" s="36"/>
      <c r="AG57" s="36"/>
      <c r="AH57" s="36"/>
      <c r="AI57" s="36"/>
      <c r="AJ57" s="36"/>
      <c r="AK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AF58" s="36"/>
      <c r="AG58" s="36"/>
      <c r="AH58" s="36"/>
      <c r="AI58" s="36"/>
      <c r="AJ58" s="36"/>
      <c r="AK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AF59" s="36"/>
      <c r="AG59" s="36"/>
      <c r="AH59" s="36"/>
      <c r="AI59" s="36"/>
      <c r="AJ59" s="36"/>
      <c r="AK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AF60" s="36"/>
      <c r="AG60" s="36"/>
      <c r="AH60" s="36"/>
      <c r="AI60" s="36"/>
      <c r="AJ60" s="36"/>
      <c r="AK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AF61" s="36"/>
      <c r="AG61" s="36"/>
      <c r="AH61" s="36"/>
      <c r="AI61" s="36"/>
      <c r="AJ61" s="36"/>
      <c r="AK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AF62" s="36"/>
      <c r="AG62" s="36"/>
      <c r="AH62" s="36"/>
      <c r="AI62" s="36"/>
      <c r="AJ62" s="36"/>
      <c r="AK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AF63" s="36"/>
      <c r="AG63" s="36"/>
      <c r="AH63" s="36"/>
      <c r="AI63" s="36"/>
      <c r="AJ63" s="36"/>
      <c r="AK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AF64" s="36"/>
      <c r="AG64" s="36"/>
      <c r="AH64" s="36"/>
      <c r="AI64" s="36"/>
      <c r="AJ64" s="36"/>
      <c r="AK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AF65" s="36"/>
      <c r="AG65" s="36"/>
      <c r="AH65" s="36"/>
      <c r="AI65" s="36"/>
      <c r="AJ65" s="36"/>
      <c r="AK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AF66" s="36"/>
      <c r="AG66" s="36"/>
      <c r="AH66" s="36"/>
      <c r="AI66" s="36"/>
      <c r="AJ66" s="36"/>
      <c r="AK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AF67" s="36"/>
      <c r="AG67" s="36"/>
      <c r="AH67" s="36"/>
      <c r="AI67" s="36"/>
      <c r="AJ67" s="36"/>
      <c r="AK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AF68" s="36"/>
      <c r="AG68" s="36"/>
      <c r="AH68" s="36"/>
      <c r="AI68" s="36"/>
      <c r="AJ68" s="36"/>
      <c r="AK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AF69" s="36"/>
      <c r="AG69" s="36"/>
      <c r="AH69" s="36"/>
      <c r="AI69" s="36"/>
      <c r="AJ69" s="36"/>
      <c r="AK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AF70" s="36"/>
      <c r="AG70" s="36"/>
      <c r="AH70" s="36"/>
      <c r="AI70" s="36"/>
      <c r="AJ70" s="36"/>
      <c r="AK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AF71" s="36"/>
      <c r="AG71" s="36"/>
      <c r="AH71" s="36"/>
      <c r="AI71" s="36"/>
      <c r="AJ71" s="36"/>
      <c r="AK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AF72" s="36"/>
      <c r="AG72" s="36"/>
      <c r="AH72" s="36"/>
      <c r="AI72" s="36"/>
      <c r="AJ72" s="36"/>
      <c r="AK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AF73" s="36"/>
      <c r="AG73" s="36"/>
      <c r="AH73" s="36"/>
      <c r="AI73" s="36"/>
      <c r="AJ73" s="36"/>
      <c r="AK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AF74" s="36"/>
      <c r="AG74" s="36"/>
      <c r="AH74" s="36"/>
      <c r="AI74" s="36"/>
      <c r="AJ74" s="36"/>
      <c r="AK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AF75" s="36"/>
      <c r="AG75" s="36"/>
      <c r="AH75" s="36"/>
      <c r="AI75" s="36"/>
      <c r="AJ75" s="36"/>
      <c r="AK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AF76" s="36"/>
      <c r="AG76" s="36"/>
      <c r="AH76" s="36"/>
      <c r="AI76" s="36"/>
      <c r="AJ76" s="36"/>
      <c r="AK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AF77" s="36"/>
      <c r="AG77" s="36"/>
      <c r="AH77" s="36"/>
      <c r="AI77" s="36"/>
      <c r="AJ77" s="36"/>
      <c r="AK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AF78" s="36"/>
      <c r="AG78" s="36"/>
      <c r="AH78" s="36"/>
      <c r="AI78" s="36"/>
      <c r="AJ78" s="36"/>
      <c r="AK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AF79" s="36"/>
      <c r="AG79" s="36"/>
      <c r="AH79" s="36"/>
      <c r="AI79" s="36"/>
      <c r="AJ79" s="36"/>
      <c r="AK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AF80" s="36"/>
      <c r="AG80" s="36"/>
      <c r="AH80" s="36"/>
      <c r="AI80" s="36"/>
      <c r="AJ80" s="36"/>
      <c r="AK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AF81" s="36"/>
      <c r="AG81" s="36"/>
      <c r="AH81" s="36"/>
      <c r="AI81" s="36"/>
      <c r="AJ81" s="36"/>
      <c r="AK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AF82" s="36"/>
      <c r="AG82" s="36"/>
      <c r="AH82" s="36"/>
      <c r="AI82" s="36"/>
      <c r="AJ82" s="36"/>
      <c r="AK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AF83" s="36"/>
      <c r="AG83" s="36"/>
      <c r="AH83" s="36"/>
      <c r="AI83" s="36"/>
      <c r="AJ83" s="36"/>
      <c r="AK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AF84" s="36"/>
      <c r="AG84" s="36"/>
      <c r="AH84" s="36"/>
      <c r="AI84" s="36"/>
      <c r="AJ84" s="36"/>
      <c r="AK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AF85" s="36"/>
      <c r="AG85" s="36"/>
      <c r="AH85" s="36"/>
      <c r="AI85" s="36"/>
      <c r="AJ85" s="36"/>
      <c r="AK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AF86" s="36"/>
      <c r="AG86" s="36"/>
      <c r="AH86" s="36"/>
      <c r="AI86" s="36"/>
      <c r="AJ86" s="36"/>
      <c r="AK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AF87" s="36"/>
      <c r="AG87" s="36"/>
      <c r="AH87" s="36"/>
      <c r="AI87" s="36"/>
      <c r="AJ87" s="36"/>
      <c r="AK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AF88" s="36"/>
      <c r="AG88" s="36"/>
      <c r="AH88" s="36"/>
      <c r="AI88" s="36"/>
      <c r="AJ88" s="36"/>
      <c r="AK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AF89" s="36"/>
      <c r="AG89" s="36"/>
      <c r="AH89" s="36"/>
      <c r="AI89" s="36"/>
      <c r="AJ89" s="36"/>
      <c r="AK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AF90" s="36"/>
      <c r="AG90" s="36"/>
      <c r="AH90" s="36"/>
      <c r="AI90" s="36"/>
      <c r="AJ90" s="36"/>
      <c r="AK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AF91" s="36"/>
      <c r="AG91" s="36"/>
      <c r="AH91" s="36"/>
      <c r="AI91" s="36"/>
      <c r="AJ91" s="36"/>
      <c r="AK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AF92" s="36"/>
      <c r="AG92" s="36"/>
      <c r="AH92" s="36"/>
      <c r="AI92" s="36"/>
      <c r="AJ92" s="36"/>
      <c r="AK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AF93" s="36"/>
      <c r="AG93" s="36"/>
      <c r="AH93" s="36"/>
      <c r="AI93" s="36"/>
      <c r="AJ93" s="36"/>
      <c r="AK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AF94" s="36"/>
      <c r="AG94" s="36"/>
      <c r="AH94" s="36"/>
      <c r="AI94" s="36"/>
      <c r="AJ94" s="36"/>
      <c r="AK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AF95" s="36"/>
      <c r="AG95" s="36"/>
      <c r="AH95" s="36"/>
      <c r="AI95" s="36"/>
      <c r="AJ95" s="36"/>
      <c r="AK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AF96" s="36"/>
      <c r="AG96" s="36"/>
      <c r="AH96" s="36"/>
      <c r="AI96" s="36"/>
      <c r="AJ96" s="36"/>
      <c r="AK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AF97" s="36"/>
      <c r="AG97" s="36"/>
      <c r="AH97" s="36"/>
      <c r="AI97" s="36"/>
      <c r="AJ97" s="36"/>
      <c r="AK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AF98" s="36"/>
      <c r="AG98" s="36"/>
      <c r="AH98" s="36"/>
      <c r="AI98" s="36"/>
      <c r="AJ98" s="36"/>
      <c r="AK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AF99" s="36"/>
      <c r="AG99" s="36"/>
      <c r="AH99" s="36"/>
      <c r="AI99" s="36"/>
      <c r="AJ99" s="36"/>
      <c r="AK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AF100" s="36"/>
      <c r="AG100" s="36"/>
      <c r="AH100" s="36"/>
      <c r="AI100" s="36"/>
      <c r="AJ100" s="36"/>
      <c r="AK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AF101" s="36"/>
      <c r="AG101" s="36"/>
      <c r="AH101" s="36"/>
      <c r="AI101" s="36"/>
      <c r="AJ101" s="36"/>
      <c r="AK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AF102" s="36"/>
      <c r="AG102" s="36"/>
      <c r="AH102" s="36"/>
      <c r="AI102" s="36"/>
      <c r="AJ102" s="36"/>
      <c r="AK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AF103" s="36"/>
      <c r="AG103" s="36"/>
      <c r="AH103" s="36"/>
      <c r="AI103" s="36"/>
      <c r="AJ103" s="36"/>
      <c r="AK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AF104" s="36"/>
      <c r="AG104" s="36"/>
      <c r="AH104" s="36"/>
      <c r="AI104" s="36"/>
      <c r="AJ104" s="36"/>
      <c r="AK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AF105" s="36"/>
      <c r="AG105" s="36"/>
      <c r="AH105" s="36"/>
      <c r="AI105" s="36"/>
      <c r="AJ105" s="36"/>
      <c r="AK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AF106" s="36"/>
      <c r="AG106" s="36"/>
      <c r="AH106" s="36"/>
      <c r="AI106" s="36"/>
      <c r="AJ106" s="36"/>
      <c r="AK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AF107" s="36"/>
      <c r="AG107" s="36"/>
      <c r="AH107" s="36"/>
      <c r="AI107" s="36"/>
      <c r="AJ107" s="36"/>
      <c r="AK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AF108" s="36"/>
      <c r="AG108" s="36"/>
      <c r="AH108" s="36"/>
      <c r="AI108" s="36"/>
      <c r="AJ108" s="36"/>
      <c r="AK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AF109" s="36"/>
      <c r="AG109" s="36"/>
      <c r="AH109" s="36"/>
      <c r="AI109" s="36"/>
      <c r="AJ109" s="36"/>
      <c r="AK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AF110" s="36"/>
      <c r="AG110" s="36"/>
      <c r="AH110" s="36"/>
      <c r="AI110" s="36"/>
      <c r="AJ110" s="36"/>
      <c r="AK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AF111" s="36"/>
      <c r="AG111" s="36"/>
      <c r="AH111" s="36"/>
      <c r="AI111" s="36"/>
      <c r="AJ111" s="36"/>
      <c r="AK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AF112" s="36"/>
      <c r="AG112" s="36"/>
      <c r="AH112" s="36"/>
      <c r="AI112" s="36"/>
      <c r="AJ112" s="36"/>
      <c r="AK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AF113" s="36"/>
      <c r="AG113" s="36"/>
      <c r="AH113" s="36"/>
      <c r="AI113" s="36"/>
      <c r="AJ113" s="36"/>
      <c r="AK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AF114" s="36"/>
      <c r="AG114" s="36"/>
      <c r="AH114" s="36"/>
      <c r="AI114" s="36"/>
      <c r="AJ114" s="36"/>
      <c r="AK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AF115" s="36"/>
      <c r="AG115" s="36"/>
      <c r="AH115" s="36"/>
      <c r="AI115" s="36"/>
      <c r="AJ115" s="36"/>
      <c r="AK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AF116" s="36"/>
      <c r="AG116" s="36"/>
      <c r="AH116" s="36"/>
      <c r="AI116" s="36"/>
      <c r="AJ116" s="36"/>
      <c r="AK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AF117" s="36"/>
      <c r="AG117" s="36"/>
      <c r="AH117" s="36"/>
      <c r="AI117" s="36"/>
      <c r="AJ117" s="36"/>
      <c r="AK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AF118" s="36"/>
      <c r="AG118" s="36"/>
      <c r="AH118" s="36"/>
      <c r="AI118" s="36"/>
      <c r="AJ118" s="36"/>
      <c r="AK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AF119" s="36"/>
      <c r="AG119" s="36"/>
      <c r="AH119" s="36"/>
      <c r="AI119" s="36"/>
      <c r="AJ119" s="36"/>
      <c r="AK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AF120" s="36"/>
      <c r="AG120" s="36"/>
      <c r="AH120" s="36"/>
      <c r="AI120" s="36"/>
      <c r="AJ120" s="36"/>
      <c r="AK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AF121" s="36"/>
      <c r="AG121" s="36"/>
      <c r="AH121" s="36"/>
      <c r="AI121" s="36"/>
      <c r="AJ121" s="36"/>
      <c r="AK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AF122" s="36"/>
      <c r="AG122" s="36"/>
      <c r="AH122" s="36"/>
      <c r="AI122" s="36"/>
      <c r="AJ122" s="36"/>
      <c r="AK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AF123" s="36"/>
      <c r="AG123" s="36"/>
      <c r="AH123" s="36"/>
      <c r="AI123" s="36"/>
      <c r="AJ123" s="36"/>
      <c r="AK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AF124" s="36"/>
      <c r="AG124" s="36"/>
      <c r="AH124" s="36"/>
      <c r="AI124" s="36"/>
      <c r="AJ124" s="36"/>
      <c r="AK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AF125" s="36"/>
      <c r="AG125" s="36"/>
      <c r="AH125" s="36"/>
      <c r="AI125" s="36"/>
      <c r="AJ125" s="36"/>
      <c r="AK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AF126" s="36"/>
      <c r="AG126" s="36"/>
      <c r="AH126" s="36"/>
      <c r="AI126" s="36"/>
      <c r="AJ126" s="36"/>
      <c r="AK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AF127" s="36"/>
      <c r="AG127" s="36"/>
      <c r="AH127" s="36"/>
      <c r="AI127" s="36"/>
      <c r="AJ127" s="36"/>
      <c r="AK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AF128" s="36"/>
      <c r="AG128" s="36"/>
      <c r="AH128" s="36"/>
      <c r="AI128" s="36"/>
      <c r="AJ128" s="36"/>
      <c r="AK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AF129" s="36"/>
      <c r="AG129" s="36"/>
      <c r="AH129" s="36"/>
      <c r="AI129" s="36"/>
      <c r="AJ129" s="36"/>
      <c r="AK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AF130" s="36"/>
      <c r="AG130" s="36"/>
      <c r="AH130" s="36"/>
      <c r="AI130" s="36"/>
      <c r="AJ130" s="36"/>
      <c r="AK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AF131" s="36"/>
      <c r="AG131" s="36"/>
      <c r="AH131" s="36"/>
      <c r="AI131" s="36"/>
      <c r="AJ131" s="36"/>
      <c r="AK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AF132" s="36"/>
      <c r="AG132" s="36"/>
      <c r="AH132" s="36"/>
      <c r="AI132" s="36"/>
      <c r="AJ132" s="36"/>
      <c r="AK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AF133" s="36"/>
      <c r="AG133" s="36"/>
      <c r="AH133" s="36"/>
      <c r="AI133" s="36"/>
      <c r="AJ133" s="36"/>
      <c r="AK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AF134" s="36"/>
      <c r="AG134" s="36"/>
      <c r="AH134" s="36"/>
      <c r="AI134" s="36"/>
      <c r="AJ134" s="36"/>
      <c r="AK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AF135" s="36"/>
      <c r="AG135" s="36"/>
      <c r="AH135" s="36"/>
      <c r="AI135" s="36"/>
      <c r="AJ135" s="36"/>
      <c r="AK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AF136" s="36"/>
      <c r="AG136" s="36"/>
      <c r="AH136" s="36"/>
      <c r="AI136" s="36"/>
      <c r="AJ136" s="36"/>
      <c r="AK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AF137" s="36"/>
      <c r="AG137" s="36"/>
      <c r="AH137" s="36"/>
      <c r="AI137" s="36"/>
      <c r="AJ137" s="36"/>
      <c r="AK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AF138" s="36"/>
      <c r="AG138" s="36"/>
      <c r="AH138" s="36"/>
      <c r="AI138" s="36"/>
      <c r="AJ138" s="36"/>
      <c r="AK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AF139" s="36"/>
      <c r="AG139" s="36"/>
      <c r="AH139" s="36"/>
      <c r="AI139" s="36"/>
      <c r="AJ139" s="36"/>
      <c r="AK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AF140" s="36"/>
      <c r="AG140" s="36"/>
      <c r="AH140" s="36"/>
      <c r="AI140" s="36"/>
      <c r="AJ140" s="36"/>
      <c r="AK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AF141" s="36"/>
      <c r="AG141" s="36"/>
      <c r="AH141" s="36"/>
      <c r="AI141" s="36"/>
      <c r="AJ141" s="36"/>
      <c r="AK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AF142" s="36"/>
      <c r="AG142" s="36"/>
      <c r="AH142" s="36"/>
      <c r="AI142" s="36"/>
      <c r="AJ142" s="36"/>
      <c r="AK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AF143" s="36"/>
      <c r="AG143" s="36"/>
      <c r="AH143" s="36"/>
      <c r="AI143" s="36"/>
      <c r="AJ143" s="36"/>
      <c r="AK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AF144" s="36"/>
      <c r="AG144" s="36"/>
      <c r="AH144" s="36"/>
      <c r="AI144" s="36"/>
      <c r="AJ144" s="36"/>
      <c r="AK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AF145" s="36"/>
      <c r="AG145" s="36"/>
      <c r="AH145" s="36"/>
      <c r="AI145" s="36"/>
      <c r="AJ145" s="36"/>
      <c r="AK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AF146" s="36"/>
      <c r="AG146" s="36"/>
      <c r="AH146" s="36"/>
      <c r="AI146" s="36"/>
      <c r="AJ146" s="36"/>
      <c r="AK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AF147" s="36"/>
      <c r="AG147" s="36"/>
      <c r="AH147" s="36"/>
      <c r="AI147" s="36"/>
      <c r="AJ147" s="36"/>
      <c r="AK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AF148" s="36"/>
      <c r="AG148" s="36"/>
      <c r="AH148" s="36"/>
      <c r="AI148" s="36"/>
      <c r="AJ148" s="36"/>
      <c r="AK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AF149" s="36"/>
      <c r="AG149" s="36"/>
      <c r="AH149" s="36"/>
      <c r="AI149" s="36"/>
      <c r="AJ149" s="36"/>
      <c r="AK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AF150" s="36"/>
      <c r="AG150" s="36"/>
      <c r="AH150" s="36"/>
      <c r="AI150" s="36"/>
      <c r="AJ150" s="36"/>
      <c r="AK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AF151" s="36"/>
      <c r="AG151" s="36"/>
      <c r="AH151" s="36"/>
      <c r="AI151" s="36"/>
      <c r="AJ151" s="36"/>
      <c r="AK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AF152" s="36"/>
      <c r="AG152" s="36"/>
      <c r="AH152" s="36"/>
      <c r="AI152" s="36"/>
      <c r="AJ152" s="36"/>
      <c r="AK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AF153" s="36"/>
      <c r="AG153" s="36"/>
      <c r="AH153" s="36"/>
      <c r="AI153" s="36"/>
      <c r="AJ153" s="36"/>
      <c r="AK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AF154" s="36"/>
      <c r="AG154" s="36"/>
      <c r="AH154" s="36"/>
      <c r="AI154" s="36"/>
      <c r="AJ154" s="36"/>
      <c r="AK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AF155" s="36"/>
      <c r="AG155" s="36"/>
      <c r="AH155" s="36"/>
      <c r="AI155" s="36"/>
      <c r="AJ155" s="36"/>
      <c r="AK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AF156" s="36"/>
      <c r="AG156" s="36"/>
      <c r="AH156" s="36"/>
      <c r="AI156" s="36"/>
      <c r="AJ156" s="36"/>
      <c r="AK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AF157" s="36"/>
      <c r="AG157" s="36"/>
      <c r="AH157" s="36"/>
      <c r="AI157" s="36"/>
      <c r="AJ157" s="36"/>
      <c r="AK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AF158" s="36"/>
      <c r="AG158" s="36"/>
      <c r="AH158" s="36"/>
      <c r="AI158" s="36"/>
      <c r="AJ158" s="36"/>
      <c r="AK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AF159" s="36"/>
      <c r="AG159" s="36"/>
      <c r="AH159" s="36"/>
      <c r="AI159" s="36"/>
      <c r="AJ159" s="36"/>
      <c r="AK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AF160" s="36"/>
      <c r="AG160" s="36"/>
      <c r="AH160" s="36"/>
      <c r="AI160" s="36"/>
      <c r="AJ160" s="36"/>
      <c r="AK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AF161" s="36"/>
      <c r="AG161" s="36"/>
      <c r="AH161" s="36"/>
      <c r="AI161" s="36"/>
      <c r="AJ161" s="36"/>
      <c r="AK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AF162" s="36"/>
      <c r="AG162" s="36"/>
      <c r="AH162" s="36"/>
      <c r="AI162" s="36"/>
      <c r="AJ162" s="36"/>
      <c r="AK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AF163" s="36"/>
      <c r="AG163" s="36"/>
      <c r="AH163" s="36"/>
      <c r="AI163" s="36"/>
      <c r="AJ163" s="36"/>
      <c r="AK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AF164" s="36"/>
      <c r="AG164" s="36"/>
      <c r="AH164" s="36"/>
      <c r="AI164" s="36"/>
      <c r="AJ164" s="36"/>
      <c r="AK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AF165" s="36"/>
      <c r="AG165" s="36"/>
      <c r="AH165" s="36"/>
      <c r="AI165" s="36"/>
      <c r="AJ165" s="36"/>
      <c r="AK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AF166" s="36"/>
      <c r="AG166" s="36"/>
      <c r="AH166" s="36"/>
      <c r="AI166" s="36"/>
      <c r="AJ166" s="36"/>
      <c r="AK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AF167" s="36"/>
      <c r="AG167" s="36"/>
      <c r="AH167" s="36"/>
      <c r="AI167" s="36"/>
      <c r="AJ167" s="36"/>
      <c r="AK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AF168" s="36"/>
      <c r="AG168" s="36"/>
      <c r="AH168" s="36"/>
      <c r="AI168" s="36"/>
      <c r="AJ168" s="36"/>
      <c r="AK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AF169" s="36"/>
      <c r="AG169" s="36"/>
      <c r="AH169" s="36"/>
      <c r="AI169" s="36"/>
      <c r="AJ169" s="36"/>
      <c r="AK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AF170" s="36"/>
      <c r="AG170" s="36"/>
      <c r="AH170" s="36"/>
      <c r="AI170" s="36"/>
      <c r="AJ170" s="36"/>
      <c r="AK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AF171" s="36"/>
      <c r="AG171" s="36"/>
      <c r="AH171" s="36"/>
      <c r="AI171" s="36"/>
      <c r="AJ171" s="36"/>
      <c r="AK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AF172" s="36"/>
      <c r="AG172" s="36"/>
      <c r="AH172" s="36"/>
      <c r="AI172" s="36"/>
      <c r="AJ172" s="36"/>
      <c r="AK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AF173" s="36"/>
      <c r="AG173" s="36"/>
      <c r="AH173" s="36"/>
      <c r="AI173" s="36"/>
      <c r="AJ173" s="36"/>
      <c r="AK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AF174" s="36"/>
      <c r="AG174" s="36"/>
      <c r="AH174" s="36"/>
      <c r="AI174" s="36"/>
      <c r="AJ174" s="36"/>
      <c r="AK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AF175" s="36"/>
      <c r="AG175" s="36"/>
      <c r="AH175" s="36"/>
      <c r="AI175" s="36"/>
      <c r="AJ175" s="36"/>
      <c r="AK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AF176" s="36"/>
      <c r="AG176" s="36"/>
      <c r="AH176" s="36"/>
      <c r="AI176" s="36"/>
      <c r="AJ176" s="36"/>
      <c r="AK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AF177" s="36"/>
      <c r="AG177" s="36"/>
      <c r="AH177" s="36"/>
      <c r="AI177" s="36"/>
      <c r="AJ177" s="36"/>
      <c r="AK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AF178" s="36"/>
      <c r="AG178" s="36"/>
      <c r="AH178" s="36"/>
      <c r="AI178" s="36"/>
      <c r="AJ178" s="36"/>
      <c r="AK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AF179" s="36"/>
      <c r="AG179" s="36"/>
      <c r="AH179" s="36"/>
      <c r="AI179" s="36"/>
      <c r="AJ179" s="36"/>
      <c r="AK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AF180" s="36"/>
      <c r="AG180" s="36"/>
      <c r="AH180" s="36"/>
      <c r="AI180" s="36"/>
      <c r="AJ180" s="36"/>
      <c r="AK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AF181" s="36"/>
      <c r="AG181" s="36"/>
      <c r="AH181" s="36"/>
      <c r="AI181" s="36"/>
      <c r="AJ181" s="36"/>
      <c r="AK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AF182" s="36"/>
      <c r="AG182" s="36"/>
      <c r="AH182" s="36"/>
      <c r="AI182" s="36"/>
      <c r="AJ182" s="36"/>
      <c r="AK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AF183" s="36"/>
      <c r="AG183" s="36"/>
      <c r="AH183" s="36"/>
      <c r="AI183" s="36"/>
      <c r="AJ183" s="36"/>
      <c r="AK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AF184" s="36"/>
      <c r="AG184" s="36"/>
      <c r="AH184" s="36"/>
      <c r="AI184" s="36"/>
      <c r="AJ184" s="36"/>
      <c r="AK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AF185" s="36"/>
      <c r="AG185" s="36"/>
      <c r="AH185" s="36"/>
      <c r="AI185" s="36"/>
      <c r="AJ185" s="36"/>
      <c r="AK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AF186" s="36"/>
      <c r="AG186" s="36"/>
      <c r="AH186" s="36"/>
      <c r="AI186" s="36"/>
      <c r="AJ186" s="36"/>
      <c r="AK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AF187" s="36"/>
      <c r="AG187" s="36"/>
      <c r="AH187" s="36"/>
      <c r="AI187" s="36"/>
      <c r="AJ187" s="36"/>
      <c r="AK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AF188" s="36"/>
      <c r="AG188" s="36"/>
      <c r="AH188" s="36"/>
      <c r="AI188" s="36"/>
      <c r="AJ188" s="36"/>
      <c r="AK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AF189" s="36"/>
      <c r="AG189" s="36"/>
      <c r="AH189" s="36"/>
      <c r="AI189" s="36"/>
      <c r="AJ189" s="36"/>
      <c r="AK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AF190" s="36"/>
      <c r="AG190" s="36"/>
      <c r="AH190" s="36"/>
      <c r="AI190" s="36"/>
      <c r="AJ190" s="36"/>
      <c r="AK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AF191" s="36"/>
      <c r="AG191" s="36"/>
      <c r="AH191" s="36"/>
      <c r="AI191" s="36"/>
      <c r="AJ191" s="36"/>
      <c r="AK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AF192" s="36"/>
      <c r="AG192" s="36"/>
      <c r="AH192" s="36"/>
      <c r="AI192" s="36"/>
      <c r="AJ192" s="36"/>
      <c r="AK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AF193" s="36"/>
      <c r="AG193" s="36"/>
      <c r="AH193" s="36"/>
      <c r="AI193" s="36"/>
      <c r="AJ193" s="36"/>
      <c r="AK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AF194" s="36"/>
      <c r="AG194" s="36"/>
      <c r="AH194" s="36"/>
      <c r="AI194" s="36"/>
      <c r="AJ194" s="36"/>
      <c r="AK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AF195" s="36"/>
      <c r="AG195" s="36"/>
      <c r="AH195" s="36"/>
      <c r="AI195" s="36"/>
      <c r="AJ195" s="36"/>
      <c r="AK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AF196" s="36"/>
      <c r="AG196" s="36"/>
      <c r="AH196" s="36"/>
      <c r="AI196" s="36"/>
      <c r="AJ196" s="36"/>
      <c r="AK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AF197" s="36"/>
      <c r="AG197" s="36"/>
      <c r="AH197" s="36"/>
      <c r="AI197" s="36"/>
      <c r="AJ197" s="36"/>
      <c r="AK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AF198" s="36"/>
      <c r="AG198" s="36"/>
      <c r="AH198" s="36"/>
      <c r="AI198" s="36"/>
      <c r="AJ198" s="36"/>
      <c r="AK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AF199" s="36"/>
      <c r="AG199" s="36"/>
      <c r="AH199" s="36"/>
      <c r="AI199" s="36"/>
      <c r="AJ199" s="36"/>
      <c r="AK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AF200" s="36"/>
      <c r="AG200" s="36"/>
      <c r="AH200" s="36"/>
      <c r="AI200" s="36"/>
      <c r="AJ200" s="36"/>
      <c r="AK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AF201" s="36"/>
      <c r="AG201" s="36"/>
      <c r="AH201" s="36"/>
      <c r="AI201" s="36"/>
      <c r="AJ201" s="36"/>
      <c r="AK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AF202" s="36"/>
      <c r="AG202" s="36"/>
      <c r="AH202" s="36"/>
      <c r="AI202" s="36"/>
      <c r="AJ202" s="36"/>
      <c r="AK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AF203" s="36"/>
      <c r="AG203" s="36"/>
      <c r="AH203" s="36"/>
      <c r="AI203" s="36"/>
      <c r="AJ203" s="36"/>
      <c r="AK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AF204" s="36"/>
      <c r="AG204" s="36"/>
      <c r="AH204" s="36"/>
      <c r="AI204" s="36"/>
      <c r="AJ204" s="36"/>
      <c r="AK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AF205" s="36"/>
      <c r="AG205" s="36"/>
      <c r="AH205" s="36"/>
      <c r="AI205" s="36"/>
      <c r="AJ205" s="36"/>
      <c r="AK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AF206" s="36"/>
      <c r="AG206" s="36"/>
      <c r="AH206" s="36"/>
      <c r="AI206" s="36"/>
      <c r="AJ206" s="36"/>
      <c r="AK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AF207" s="36"/>
      <c r="AG207" s="36"/>
      <c r="AH207" s="36"/>
      <c r="AI207" s="36"/>
      <c r="AJ207" s="36"/>
      <c r="AK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AF208" s="36"/>
      <c r="AG208" s="36"/>
      <c r="AH208" s="36"/>
      <c r="AI208" s="36"/>
      <c r="AJ208" s="36"/>
      <c r="AK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AF209" s="36"/>
      <c r="AG209" s="36"/>
      <c r="AH209" s="36"/>
      <c r="AI209" s="36"/>
      <c r="AJ209" s="36"/>
      <c r="AK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AF210" s="36"/>
      <c r="AG210" s="36"/>
      <c r="AH210" s="36"/>
      <c r="AI210" s="36"/>
      <c r="AJ210" s="36"/>
      <c r="AK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AF211" s="36"/>
      <c r="AG211" s="36"/>
      <c r="AH211" s="36"/>
      <c r="AI211" s="36"/>
      <c r="AJ211" s="36"/>
      <c r="AK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AF212" s="36"/>
      <c r="AG212" s="36"/>
      <c r="AH212" s="36"/>
      <c r="AI212" s="36"/>
      <c r="AJ212" s="36"/>
      <c r="AK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AF213" s="36"/>
      <c r="AG213" s="36"/>
      <c r="AH213" s="36"/>
      <c r="AI213" s="36"/>
      <c r="AJ213" s="36"/>
      <c r="AK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AF214" s="36"/>
      <c r="AG214" s="36"/>
      <c r="AH214" s="36"/>
      <c r="AI214" s="36"/>
      <c r="AJ214" s="36"/>
      <c r="AK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AF215" s="36"/>
      <c r="AG215" s="36"/>
      <c r="AH215" s="36"/>
      <c r="AI215" s="36"/>
      <c r="AJ215" s="36"/>
      <c r="AK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AF216" s="36"/>
      <c r="AG216" s="36"/>
      <c r="AH216" s="36"/>
      <c r="AI216" s="36"/>
      <c r="AJ216" s="36"/>
      <c r="AK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AF217" s="36"/>
      <c r="AG217" s="36"/>
      <c r="AH217" s="36"/>
      <c r="AI217" s="36"/>
      <c r="AJ217" s="36"/>
      <c r="AK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AF218" s="36"/>
      <c r="AG218" s="36"/>
      <c r="AH218" s="36"/>
      <c r="AI218" s="36"/>
      <c r="AJ218" s="36"/>
      <c r="AK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AF219" s="36"/>
      <c r="AG219" s="36"/>
      <c r="AH219" s="36"/>
      <c r="AI219" s="36"/>
      <c r="AJ219" s="36"/>
      <c r="AK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AF220" s="36"/>
      <c r="AG220" s="36"/>
      <c r="AH220" s="36"/>
      <c r="AI220" s="36"/>
      <c r="AJ220" s="36"/>
      <c r="AK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AF221" s="36"/>
      <c r="AG221" s="36"/>
      <c r="AH221" s="36"/>
      <c r="AI221" s="36"/>
      <c r="AJ221" s="36"/>
      <c r="AK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AF222" s="36"/>
      <c r="AG222" s="36"/>
      <c r="AH222" s="36"/>
      <c r="AI222" s="36"/>
      <c r="AJ222" s="36"/>
      <c r="AK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AF223" s="36"/>
      <c r="AG223" s="36"/>
      <c r="AH223" s="36"/>
      <c r="AI223" s="36"/>
      <c r="AJ223" s="36"/>
      <c r="AK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AF224" s="36"/>
      <c r="AG224" s="36"/>
      <c r="AH224" s="36"/>
      <c r="AI224" s="36"/>
      <c r="AJ224" s="36"/>
      <c r="AK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AF225" s="36"/>
      <c r="AG225" s="36"/>
      <c r="AH225" s="36"/>
      <c r="AI225" s="36"/>
      <c r="AJ225" s="36"/>
      <c r="AK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AF226" s="36"/>
      <c r="AG226" s="36"/>
      <c r="AH226" s="36"/>
      <c r="AI226" s="36"/>
      <c r="AJ226" s="36"/>
      <c r="AK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AF227" s="36"/>
      <c r="AG227" s="36"/>
      <c r="AH227" s="36"/>
      <c r="AI227" s="36"/>
      <c r="AJ227" s="36"/>
      <c r="AK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AF228" s="36"/>
      <c r="AG228" s="36"/>
      <c r="AH228" s="36"/>
      <c r="AI228" s="36"/>
      <c r="AJ228" s="36"/>
      <c r="AK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AF229" s="36"/>
      <c r="AG229" s="36"/>
      <c r="AH229" s="36"/>
      <c r="AI229" s="36"/>
      <c r="AJ229" s="36"/>
      <c r="AK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AF230" s="36"/>
      <c r="AG230" s="36"/>
      <c r="AH230" s="36"/>
      <c r="AI230" s="36"/>
      <c r="AJ230" s="36"/>
      <c r="AK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AF231" s="36"/>
      <c r="AG231" s="36"/>
      <c r="AH231" s="36"/>
      <c r="AI231" s="36"/>
      <c r="AJ231" s="36"/>
      <c r="AK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AF232" s="36"/>
      <c r="AG232" s="36"/>
      <c r="AH232" s="36"/>
      <c r="AI232" s="36"/>
      <c r="AJ232" s="36"/>
      <c r="AK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AF233" s="36"/>
      <c r="AG233" s="36"/>
      <c r="AH233" s="36"/>
      <c r="AI233" s="36"/>
      <c r="AJ233" s="36"/>
      <c r="AK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AF234" s="36"/>
      <c r="AG234" s="36"/>
      <c r="AH234" s="36"/>
      <c r="AI234" s="36"/>
      <c r="AJ234" s="36"/>
      <c r="AK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AF235" s="36"/>
      <c r="AG235" s="36"/>
      <c r="AH235" s="36"/>
      <c r="AI235" s="36"/>
      <c r="AJ235" s="36"/>
      <c r="AK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AF236" s="36"/>
      <c r="AG236" s="36"/>
      <c r="AH236" s="36"/>
      <c r="AI236" s="36"/>
      <c r="AJ236" s="36"/>
      <c r="AK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AF237" s="36"/>
      <c r="AG237" s="36"/>
      <c r="AH237" s="36"/>
      <c r="AI237" s="36"/>
      <c r="AJ237" s="36"/>
      <c r="AK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AF238" s="36"/>
      <c r="AG238" s="36"/>
      <c r="AH238" s="36"/>
      <c r="AI238" s="36"/>
      <c r="AJ238" s="36"/>
      <c r="AK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AF239" s="36"/>
      <c r="AG239" s="36"/>
      <c r="AH239" s="36"/>
      <c r="AI239" s="36"/>
      <c r="AJ239" s="36"/>
      <c r="AK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AF240" s="36"/>
      <c r="AG240" s="36"/>
      <c r="AH240" s="36"/>
      <c r="AI240" s="36"/>
      <c r="AJ240" s="36"/>
      <c r="AK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AF241" s="36"/>
      <c r="AG241" s="36"/>
      <c r="AH241" s="36"/>
      <c r="AI241" s="36"/>
      <c r="AJ241" s="36"/>
      <c r="AK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AF242" s="36"/>
      <c r="AG242" s="36"/>
      <c r="AH242" s="36"/>
      <c r="AI242" s="36"/>
      <c r="AJ242" s="36"/>
      <c r="AK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AF243" s="36"/>
      <c r="AG243" s="36"/>
      <c r="AH243" s="36"/>
      <c r="AI243" s="36"/>
      <c r="AJ243" s="36"/>
      <c r="AK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AF244" s="36"/>
      <c r="AG244" s="36"/>
      <c r="AH244" s="36"/>
      <c r="AI244" s="36"/>
      <c r="AJ244" s="36"/>
      <c r="AK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AF245" s="36"/>
      <c r="AG245" s="36"/>
      <c r="AH245" s="36"/>
      <c r="AI245" s="36"/>
      <c r="AJ245" s="36"/>
      <c r="AK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AF246" s="36"/>
      <c r="AG246" s="36"/>
      <c r="AH246" s="36"/>
      <c r="AI246" s="36"/>
      <c r="AJ246" s="36"/>
      <c r="AK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AF247" s="36"/>
      <c r="AG247" s="36"/>
      <c r="AH247" s="36"/>
      <c r="AI247" s="36"/>
      <c r="AJ247" s="36"/>
      <c r="AK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AF248" s="36"/>
      <c r="AG248" s="36"/>
      <c r="AH248" s="36"/>
      <c r="AI248" s="36"/>
      <c r="AJ248" s="36"/>
      <c r="AK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AF249" s="36"/>
      <c r="AG249" s="36"/>
      <c r="AH249" s="36"/>
      <c r="AI249" s="36"/>
      <c r="AJ249" s="36"/>
      <c r="AK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AF250" s="36"/>
      <c r="AG250" s="36"/>
      <c r="AH250" s="36"/>
      <c r="AI250" s="36"/>
      <c r="AJ250" s="36"/>
      <c r="AK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AF251" s="36"/>
      <c r="AG251" s="36"/>
      <c r="AH251" s="36"/>
      <c r="AI251" s="36"/>
      <c r="AJ251" s="36"/>
      <c r="AK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AF252" s="36"/>
      <c r="AG252" s="36"/>
      <c r="AH252" s="36"/>
      <c r="AI252" s="36"/>
      <c r="AJ252" s="36"/>
      <c r="AK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AF253" s="36"/>
      <c r="AG253" s="36"/>
      <c r="AH253" s="36"/>
      <c r="AI253" s="36"/>
      <c r="AJ253" s="36"/>
      <c r="AK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AF254" s="36"/>
      <c r="AG254" s="36"/>
      <c r="AH254" s="36"/>
      <c r="AI254" s="36"/>
      <c r="AJ254" s="36"/>
      <c r="AK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AF255" s="36"/>
      <c r="AG255" s="36"/>
      <c r="AH255" s="36"/>
      <c r="AI255" s="36"/>
      <c r="AJ255" s="36"/>
      <c r="AK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AF256" s="36"/>
      <c r="AG256" s="36"/>
      <c r="AH256" s="36"/>
      <c r="AI256" s="36"/>
      <c r="AJ256" s="36"/>
      <c r="AK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AF257" s="36"/>
      <c r="AG257" s="36"/>
      <c r="AH257" s="36"/>
      <c r="AI257" s="36"/>
      <c r="AJ257" s="36"/>
      <c r="AK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AF258" s="36"/>
      <c r="AG258" s="36"/>
      <c r="AH258" s="36"/>
      <c r="AI258" s="36"/>
      <c r="AJ258" s="36"/>
      <c r="AK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AF259" s="36"/>
      <c r="AG259" s="36"/>
      <c r="AH259" s="36"/>
      <c r="AI259" s="36"/>
      <c r="AJ259" s="36"/>
      <c r="AK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AF260" s="36"/>
      <c r="AG260" s="36"/>
      <c r="AH260" s="36"/>
      <c r="AI260" s="36"/>
      <c r="AJ260" s="36"/>
      <c r="AK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AF261" s="36"/>
      <c r="AG261" s="36"/>
      <c r="AH261" s="36"/>
      <c r="AI261" s="36"/>
      <c r="AJ261" s="36"/>
      <c r="AK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AF262" s="36"/>
      <c r="AG262" s="36"/>
      <c r="AH262" s="36"/>
      <c r="AI262" s="36"/>
      <c r="AJ262" s="36"/>
      <c r="AK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AF263" s="36"/>
      <c r="AG263" s="36"/>
      <c r="AH263" s="36"/>
      <c r="AI263" s="36"/>
      <c r="AJ263" s="36"/>
      <c r="AK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AF264" s="36"/>
      <c r="AG264" s="36"/>
      <c r="AH264" s="36"/>
      <c r="AI264" s="36"/>
      <c r="AJ264" s="36"/>
      <c r="AK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AF265" s="36"/>
      <c r="AG265" s="36"/>
      <c r="AH265" s="36"/>
      <c r="AI265" s="36"/>
      <c r="AJ265" s="36"/>
      <c r="AK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AF266" s="36"/>
      <c r="AG266" s="36"/>
      <c r="AH266" s="36"/>
      <c r="AI266" s="36"/>
      <c r="AJ266" s="36"/>
      <c r="AK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AF267" s="36"/>
      <c r="AG267" s="36"/>
      <c r="AH267" s="36"/>
      <c r="AI267" s="36"/>
      <c r="AJ267" s="36"/>
      <c r="AK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AF268" s="36"/>
      <c r="AG268" s="36"/>
      <c r="AH268" s="36"/>
      <c r="AI268" s="36"/>
      <c r="AJ268" s="36"/>
      <c r="AK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AF269" s="36"/>
      <c r="AG269" s="36"/>
      <c r="AH269" s="36"/>
      <c r="AI269" s="36"/>
      <c r="AJ269" s="36"/>
      <c r="AK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AF270" s="36"/>
      <c r="AG270" s="36"/>
      <c r="AH270" s="36"/>
      <c r="AI270" s="36"/>
      <c r="AJ270" s="36"/>
      <c r="AK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AF271" s="36"/>
      <c r="AG271" s="36"/>
      <c r="AH271" s="36"/>
      <c r="AI271" s="36"/>
      <c r="AJ271" s="36"/>
      <c r="AK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AF272" s="36"/>
      <c r="AG272" s="36"/>
      <c r="AH272" s="36"/>
      <c r="AI272" s="36"/>
      <c r="AJ272" s="36"/>
      <c r="AK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AF273" s="36"/>
      <c r="AG273" s="36"/>
      <c r="AH273" s="36"/>
      <c r="AI273" s="36"/>
      <c r="AJ273" s="36"/>
      <c r="AK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AF274" s="36"/>
      <c r="AG274" s="36"/>
      <c r="AH274" s="36"/>
      <c r="AI274" s="36"/>
      <c r="AJ274" s="36"/>
      <c r="AK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AF275" s="36"/>
      <c r="AG275" s="36"/>
      <c r="AH275" s="36"/>
      <c r="AI275" s="36"/>
      <c r="AJ275" s="36"/>
      <c r="AK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AF276" s="36"/>
      <c r="AG276" s="36"/>
      <c r="AH276" s="36"/>
      <c r="AI276" s="36"/>
      <c r="AJ276" s="36"/>
      <c r="AK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AF277" s="36"/>
      <c r="AG277" s="36"/>
      <c r="AH277" s="36"/>
      <c r="AI277" s="36"/>
      <c r="AJ277" s="36"/>
      <c r="AK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AF278" s="36"/>
      <c r="AG278" s="36"/>
      <c r="AH278" s="36"/>
      <c r="AI278" s="36"/>
      <c r="AJ278" s="36"/>
      <c r="AK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AF279" s="36"/>
      <c r="AG279" s="36"/>
      <c r="AH279" s="36"/>
      <c r="AI279" s="36"/>
      <c r="AJ279" s="36"/>
      <c r="AK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AF280" s="36"/>
      <c r="AG280" s="36"/>
      <c r="AH280" s="36"/>
      <c r="AI280" s="36"/>
      <c r="AJ280" s="36"/>
      <c r="AK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AF281" s="36"/>
      <c r="AG281" s="36"/>
      <c r="AH281" s="36"/>
      <c r="AI281" s="36"/>
      <c r="AJ281" s="36"/>
      <c r="AK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AF282" s="36"/>
      <c r="AG282" s="36"/>
      <c r="AH282" s="36"/>
      <c r="AI282" s="36"/>
      <c r="AJ282" s="36"/>
      <c r="AK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AF283" s="36"/>
      <c r="AG283" s="36"/>
      <c r="AH283" s="36"/>
      <c r="AI283" s="36"/>
      <c r="AJ283" s="36"/>
      <c r="AK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AF284" s="36"/>
      <c r="AG284" s="36"/>
      <c r="AH284" s="36"/>
      <c r="AI284" s="36"/>
      <c r="AJ284" s="36"/>
      <c r="AK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AF285" s="36"/>
      <c r="AG285" s="36"/>
      <c r="AH285" s="36"/>
      <c r="AI285" s="36"/>
      <c r="AJ285" s="36"/>
      <c r="AK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AF286" s="36"/>
      <c r="AG286" s="36"/>
      <c r="AH286" s="36"/>
      <c r="AI286" s="36"/>
      <c r="AJ286" s="36"/>
      <c r="AK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AF287" s="36"/>
      <c r="AG287" s="36"/>
      <c r="AH287" s="36"/>
      <c r="AI287" s="36"/>
      <c r="AJ287" s="36"/>
      <c r="AK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AF288" s="36"/>
      <c r="AG288" s="36"/>
      <c r="AH288" s="36"/>
      <c r="AI288" s="36"/>
      <c r="AJ288" s="36"/>
      <c r="AK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AF289" s="36"/>
      <c r="AG289" s="36"/>
      <c r="AH289" s="36"/>
      <c r="AI289" s="36"/>
      <c r="AJ289" s="36"/>
      <c r="AK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AF290" s="36"/>
      <c r="AG290" s="36"/>
      <c r="AH290" s="36"/>
      <c r="AI290" s="36"/>
      <c r="AJ290" s="36"/>
      <c r="AK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AF291" s="36"/>
      <c r="AG291" s="36"/>
      <c r="AH291" s="36"/>
      <c r="AI291" s="36"/>
      <c r="AJ291" s="36"/>
      <c r="AK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AF292" s="36"/>
      <c r="AG292" s="36"/>
      <c r="AH292" s="36"/>
      <c r="AI292" s="36"/>
      <c r="AJ292" s="36"/>
      <c r="AK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AF293" s="36"/>
      <c r="AG293" s="36"/>
      <c r="AH293" s="36"/>
      <c r="AI293" s="36"/>
      <c r="AJ293" s="36"/>
      <c r="AK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AF294" s="36"/>
      <c r="AG294" s="36"/>
      <c r="AH294" s="36"/>
      <c r="AI294" s="36"/>
      <c r="AJ294" s="36"/>
      <c r="AK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AF295" s="36"/>
      <c r="AG295" s="36"/>
      <c r="AH295" s="36"/>
      <c r="AI295" s="36"/>
      <c r="AJ295" s="36"/>
      <c r="AK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AF296" s="36"/>
      <c r="AG296" s="36"/>
      <c r="AH296" s="36"/>
      <c r="AI296" s="36"/>
      <c r="AJ296" s="36"/>
      <c r="AK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AF297" s="36"/>
      <c r="AG297" s="36"/>
      <c r="AH297" s="36"/>
      <c r="AI297" s="36"/>
      <c r="AJ297" s="36"/>
      <c r="AK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AF298" s="36"/>
      <c r="AG298" s="36"/>
      <c r="AH298" s="36"/>
      <c r="AI298" s="36"/>
      <c r="AJ298" s="36"/>
      <c r="AK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AF299" s="36"/>
      <c r="AG299" s="36"/>
      <c r="AH299" s="36"/>
      <c r="AI299" s="36"/>
      <c r="AJ299" s="36"/>
      <c r="AK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AF300" s="36"/>
      <c r="AG300" s="36"/>
      <c r="AH300" s="36"/>
      <c r="AI300" s="36"/>
      <c r="AJ300" s="36"/>
      <c r="AK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AF301" s="36"/>
      <c r="AG301" s="36"/>
      <c r="AH301" s="36"/>
      <c r="AI301" s="36"/>
      <c r="AJ301" s="36"/>
      <c r="AK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AF302" s="36"/>
      <c r="AG302" s="36"/>
      <c r="AH302" s="36"/>
      <c r="AI302" s="36"/>
      <c r="AJ302" s="36"/>
      <c r="AK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AF303" s="36"/>
      <c r="AG303" s="36"/>
      <c r="AH303" s="36"/>
      <c r="AI303" s="36"/>
      <c r="AJ303" s="36"/>
      <c r="AK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AF304" s="36"/>
      <c r="AG304" s="36"/>
      <c r="AH304" s="36"/>
      <c r="AI304" s="36"/>
      <c r="AJ304" s="36"/>
      <c r="AK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AF305" s="36"/>
      <c r="AG305" s="36"/>
      <c r="AH305" s="36"/>
      <c r="AI305" s="36"/>
      <c r="AJ305" s="36"/>
      <c r="AK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AF306" s="36"/>
      <c r="AG306" s="36"/>
      <c r="AH306" s="36"/>
      <c r="AI306" s="36"/>
      <c r="AJ306" s="36"/>
      <c r="AK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AF307" s="36"/>
      <c r="AG307" s="36"/>
      <c r="AH307" s="36"/>
      <c r="AI307" s="36"/>
      <c r="AJ307" s="36"/>
      <c r="AK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AF308" s="36"/>
      <c r="AG308" s="36"/>
      <c r="AH308" s="36"/>
      <c r="AI308" s="36"/>
      <c r="AJ308" s="36"/>
      <c r="AK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AF309" s="36"/>
      <c r="AG309" s="36"/>
      <c r="AH309" s="36"/>
      <c r="AI309" s="36"/>
      <c r="AJ309" s="36"/>
      <c r="AK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AF310" s="36"/>
      <c r="AG310" s="36"/>
      <c r="AH310" s="36"/>
      <c r="AI310" s="36"/>
      <c r="AJ310" s="36"/>
      <c r="AK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AF311" s="36"/>
      <c r="AG311" s="36"/>
      <c r="AH311" s="36"/>
      <c r="AI311" s="36"/>
      <c r="AJ311" s="36"/>
      <c r="AK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AF312" s="36"/>
      <c r="AG312" s="36"/>
      <c r="AH312" s="36"/>
      <c r="AI312" s="36"/>
      <c r="AJ312" s="36"/>
      <c r="AK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AF313" s="36"/>
      <c r="AG313" s="36"/>
      <c r="AH313" s="36"/>
      <c r="AI313" s="36"/>
      <c r="AJ313" s="36"/>
      <c r="AK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AF314" s="36"/>
      <c r="AG314" s="36"/>
      <c r="AH314" s="36"/>
      <c r="AI314" s="36"/>
      <c r="AJ314" s="36"/>
      <c r="AK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AF315" s="36"/>
      <c r="AG315" s="36"/>
      <c r="AH315" s="36"/>
      <c r="AI315" s="36"/>
      <c r="AJ315" s="36"/>
      <c r="AK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AF316" s="36"/>
      <c r="AG316" s="36"/>
      <c r="AH316" s="36"/>
      <c r="AI316" s="36"/>
      <c r="AJ316" s="36"/>
      <c r="AK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AF317" s="36"/>
      <c r="AG317" s="36"/>
      <c r="AH317" s="36"/>
      <c r="AI317" s="36"/>
      <c r="AJ317" s="36"/>
      <c r="AK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AF318" s="36"/>
      <c r="AG318" s="36"/>
      <c r="AH318" s="36"/>
      <c r="AI318" s="36"/>
      <c r="AJ318" s="36"/>
      <c r="AK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AF319" s="36"/>
      <c r="AG319" s="36"/>
      <c r="AH319" s="36"/>
      <c r="AI319" s="36"/>
      <c r="AJ319" s="36"/>
      <c r="AK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AF320" s="36"/>
      <c r="AG320" s="36"/>
      <c r="AH320" s="36"/>
      <c r="AI320" s="36"/>
      <c r="AJ320" s="36"/>
      <c r="AK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AF321" s="36"/>
      <c r="AG321" s="36"/>
      <c r="AH321" s="36"/>
      <c r="AI321" s="36"/>
      <c r="AJ321" s="36"/>
      <c r="AK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AF322" s="36"/>
      <c r="AG322" s="36"/>
      <c r="AH322" s="36"/>
      <c r="AI322" s="36"/>
      <c r="AJ322" s="36"/>
      <c r="AK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AF323" s="36"/>
      <c r="AG323" s="36"/>
      <c r="AH323" s="36"/>
      <c r="AI323" s="36"/>
      <c r="AJ323" s="36"/>
      <c r="AK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AF324" s="36"/>
      <c r="AG324" s="36"/>
      <c r="AH324" s="36"/>
      <c r="AI324" s="36"/>
      <c r="AJ324" s="36"/>
      <c r="AK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AF325" s="36"/>
      <c r="AG325" s="36"/>
      <c r="AH325" s="36"/>
      <c r="AI325" s="36"/>
      <c r="AJ325" s="36"/>
      <c r="AK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AF326" s="36"/>
      <c r="AG326" s="36"/>
      <c r="AH326" s="36"/>
      <c r="AI326" s="36"/>
      <c r="AJ326" s="36"/>
      <c r="AK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AF327" s="36"/>
      <c r="AG327" s="36"/>
      <c r="AH327" s="36"/>
      <c r="AI327" s="36"/>
      <c r="AJ327" s="36"/>
      <c r="AK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AF328" s="36"/>
      <c r="AG328" s="36"/>
      <c r="AH328" s="36"/>
      <c r="AI328" s="36"/>
      <c r="AJ328" s="36"/>
      <c r="AK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AF329" s="36"/>
      <c r="AG329" s="36"/>
      <c r="AH329" s="36"/>
      <c r="AI329" s="36"/>
      <c r="AJ329" s="36"/>
      <c r="AK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AF330" s="36"/>
      <c r="AG330" s="36"/>
      <c r="AH330" s="36"/>
      <c r="AI330" s="36"/>
      <c r="AJ330" s="36"/>
      <c r="AK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AF331" s="36"/>
      <c r="AG331" s="36"/>
      <c r="AH331" s="36"/>
      <c r="AI331" s="36"/>
      <c r="AJ331" s="36"/>
      <c r="AK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AF332" s="36"/>
      <c r="AG332" s="36"/>
      <c r="AH332" s="36"/>
      <c r="AI332" s="36"/>
      <c r="AJ332" s="36"/>
      <c r="AK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AF333" s="36"/>
      <c r="AG333" s="36"/>
      <c r="AH333" s="36"/>
      <c r="AI333" s="36"/>
      <c r="AJ333" s="36"/>
      <c r="AK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AF334" s="36"/>
      <c r="AG334" s="36"/>
      <c r="AH334" s="36"/>
      <c r="AI334" s="36"/>
      <c r="AJ334" s="36"/>
      <c r="AK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AF335" s="36"/>
      <c r="AG335" s="36"/>
      <c r="AH335" s="36"/>
      <c r="AI335" s="36"/>
      <c r="AJ335" s="36"/>
      <c r="AK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AF336" s="36"/>
      <c r="AG336" s="36"/>
      <c r="AH336" s="36"/>
      <c r="AI336" s="36"/>
      <c r="AJ336" s="36"/>
      <c r="AK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AF337" s="36"/>
      <c r="AG337" s="36"/>
      <c r="AH337" s="36"/>
      <c r="AI337" s="36"/>
      <c r="AJ337" s="36"/>
      <c r="AK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AF338" s="36"/>
      <c r="AG338" s="36"/>
      <c r="AH338" s="36"/>
      <c r="AI338" s="36"/>
      <c r="AJ338" s="36"/>
      <c r="AK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AF339" s="36"/>
      <c r="AG339" s="36"/>
      <c r="AH339" s="36"/>
      <c r="AI339" s="36"/>
      <c r="AJ339" s="36"/>
      <c r="AK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AF340" s="36"/>
      <c r="AG340" s="36"/>
      <c r="AH340" s="36"/>
      <c r="AI340" s="36"/>
      <c r="AJ340" s="36"/>
      <c r="AK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AF341" s="36"/>
      <c r="AG341" s="36"/>
      <c r="AH341" s="36"/>
      <c r="AI341" s="36"/>
      <c r="AJ341" s="36"/>
      <c r="AK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AF342" s="36"/>
      <c r="AG342" s="36"/>
      <c r="AH342" s="36"/>
      <c r="AI342" s="36"/>
      <c r="AJ342" s="36"/>
      <c r="AK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AF343" s="36"/>
      <c r="AG343" s="36"/>
      <c r="AH343" s="36"/>
      <c r="AI343" s="36"/>
      <c r="AJ343" s="36"/>
      <c r="AK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AF344" s="36"/>
      <c r="AG344" s="36"/>
      <c r="AH344" s="36"/>
      <c r="AI344" s="36"/>
      <c r="AJ344" s="36"/>
      <c r="AK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AF345" s="36"/>
      <c r="AG345" s="36"/>
      <c r="AH345" s="36"/>
      <c r="AI345" s="36"/>
      <c r="AJ345" s="36"/>
      <c r="AK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AF346" s="36"/>
      <c r="AG346" s="36"/>
      <c r="AH346" s="36"/>
      <c r="AI346" s="36"/>
      <c r="AJ346" s="36"/>
      <c r="AK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AF347" s="36"/>
      <c r="AG347" s="36"/>
      <c r="AH347" s="36"/>
      <c r="AI347" s="36"/>
      <c r="AJ347" s="36"/>
      <c r="AK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AF348" s="36"/>
      <c r="AG348" s="36"/>
      <c r="AH348" s="36"/>
      <c r="AI348" s="36"/>
      <c r="AJ348" s="36"/>
      <c r="AK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AF349" s="36"/>
      <c r="AG349" s="36"/>
      <c r="AH349" s="36"/>
      <c r="AI349" s="36"/>
      <c r="AJ349" s="36"/>
      <c r="AK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AF350" s="36"/>
      <c r="AG350" s="36"/>
      <c r="AH350" s="36"/>
      <c r="AI350" s="36"/>
      <c r="AJ350" s="36"/>
      <c r="AK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AF351" s="36"/>
      <c r="AG351" s="36"/>
      <c r="AH351" s="36"/>
      <c r="AI351" s="36"/>
      <c r="AJ351" s="36"/>
      <c r="AK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AF352" s="36"/>
      <c r="AG352" s="36"/>
      <c r="AH352" s="36"/>
      <c r="AI352" s="36"/>
      <c r="AJ352" s="36"/>
      <c r="AK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AF353" s="36"/>
      <c r="AG353" s="36"/>
      <c r="AH353" s="36"/>
      <c r="AI353" s="36"/>
      <c r="AJ353" s="36"/>
      <c r="AK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AF354" s="36"/>
      <c r="AG354" s="36"/>
      <c r="AH354" s="36"/>
      <c r="AI354" s="36"/>
      <c r="AJ354" s="36"/>
      <c r="AK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AF355" s="36"/>
      <c r="AG355" s="36"/>
      <c r="AH355" s="36"/>
      <c r="AI355" s="36"/>
      <c r="AJ355" s="36"/>
      <c r="AK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AF356" s="36"/>
      <c r="AG356" s="36"/>
      <c r="AH356" s="36"/>
      <c r="AI356" s="36"/>
      <c r="AJ356" s="36"/>
      <c r="AK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AF357" s="36"/>
      <c r="AG357" s="36"/>
      <c r="AH357" s="36"/>
      <c r="AI357" s="36"/>
      <c r="AJ357" s="36"/>
      <c r="AK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AF358" s="36"/>
      <c r="AG358" s="36"/>
      <c r="AH358" s="36"/>
      <c r="AI358" s="36"/>
      <c r="AJ358" s="36"/>
      <c r="AK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AF359" s="36"/>
      <c r="AG359" s="36"/>
      <c r="AH359" s="36"/>
      <c r="AI359" s="36"/>
      <c r="AJ359" s="36"/>
      <c r="AK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AF360" s="36"/>
      <c r="AG360" s="36"/>
      <c r="AH360" s="36"/>
      <c r="AI360" s="36"/>
      <c r="AJ360" s="36"/>
      <c r="AK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AF361" s="36"/>
      <c r="AG361" s="36"/>
      <c r="AH361" s="36"/>
      <c r="AI361" s="36"/>
      <c r="AJ361" s="36"/>
      <c r="AK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AF362" s="36"/>
      <c r="AG362" s="36"/>
      <c r="AH362" s="36"/>
      <c r="AI362" s="36"/>
      <c r="AJ362" s="36"/>
      <c r="AK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AF363" s="36"/>
      <c r="AG363" s="36"/>
      <c r="AH363" s="36"/>
      <c r="AI363" s="36"/>
      <c r="AJ363" s="36"/>
      <c r="AK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AF364" s="36"/>
      <c r="AG364" s="36"/>
      <c r="AH364" s="36"/>
      <c r="AI364" s="36"/>
      <c r="AJ364" s="36"/>
      <c r="AK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AF365" s="36"/>
      <c r="AG365" s="36"/>
      <c r="AH365" s="36"/>
      <c r="AI365" s="36"/>
      <c r="AJ365" s="36"/>
      <c r="AK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AF366" s="36"/>
      <c r="AG366" s="36"/>
      <c r="AH366" s="36"/>
      <c r="AI366" s="36"/>
      <c r="AJ366" s="36"/>
      <c r="AK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AF367" s="36"/>
      <c r="AG367" s="36"/>
      <c r="AH367" s="36"/>
      <c r="AI367" s="36"/>
      <c r="AJ367" s="36"/>
      <c r="AK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AF368" s="36"/>
      <c r="AG368" s="36"/>
      <c r="AH368" s="36"/>
      <c r="AI368" s="36"/>
      <c r="AJ368" s="36"/>
      <c r="AK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AF369" s="36"/>
      <c r="AG369" s="36"/>
      <c r="AH369" s="36"/>
      <c r="AI369" s="36"/>
      <c r="AJ369" s="36"/>
      <c r="AK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AF370" s="36"/>
      <c r="AG370" s="36"/>
      <c r="AH370" s="36"/>
      <c r="AI370" s="36"/>
      <c r="AJ370" s="36"/>
      <c r="AK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AF371" s="36"/>
      <c r="AG371" s="36"/>
      <c r="AH371" s="36"/>
      <c r="AI371" s="36"/>
      <c r="AJ371" s="36"/>
      <c r="AK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AF372" s="36"/>
      <c r="AG372" s="36"/>
      <c r="AH372" s="36"/>
      <c r="AI372" s="36"/>
      <c r="AJ372" s="36"/>
      <c r="AK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AF373" s="36"/>
      <c r="AG373" s="36"/>
      <c r="AH373" s="36"/>
      <c r="AI373" s="36"/>
      <c r="AJ373" s="36"/>
      <c r="AK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AF374" s="36"/>
      <c r="AG374" s="36"/>
      <c r="AH374" s="36"/>
      <c r="AI374" s="36"/>
      <c r="AJ374" s="36"/>
      <c r="AK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AF375" s="36"/>
      <c r="AG375" s="36"/>
      <c r="AH375" s="36"/>
      <c r="AI375" s="36"/>
      <c r="AJ375" s="36"/>
      <c r="AK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AF376" s="36"/>
      <c r="AG376" s="36"/>
      <c r="AH376" s="36"/>
      <c r="AI376" s="36"/>
      <c r="AJ376" s="36"/>
      <c r="AK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AF377" s="36"/>
      <c r="AG377" s="36"/>
      <c r="AH377" s="36"/>
      <c r="AI377" s="36"/>
      <c r="AJ377" s="36"/>
      <c r="AK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AF378" s="36"/>
      <c r="AG378" s="36"/>
      <c r="AH378" s="36"/>
      <c r="AI378" s="36"/>
      <c r="AJ378" s="36"/>
      <c r="AK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AF379" s="36"/>
      <c r="AG379" s="36"/>
      <c r="AH379" s="36"/>
      <c r="AI379" s="36"/>
      <c r="AJ379" s="36"/>
      <c r="AK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AF380" s="36"/>
      <c r="AG380" s="36"/>
      <c r="AH380" s="36"/>
      <c r="AI380" s="36"/>
      <c r="AJ380" s="36"/>
      <c r="AK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AF381" s="36"/>
      <c r="AG381" s="36"/>
      <c r="AH381" s="36"/>
      <c r="AI381" s="36"/>
      <c r="AJ381" s="36"/>
      <c r="AK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AF382" s="36"/>
      <c r="AG382" s="36"/>
      <c r="AH382" s="36"/>
      <c r="AI382" s="36"/>
      <c r="AJ382" s="36"/>
      <c r="AK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AF383" s="36"/>
      <c r="AG383" s="36"/>
      <c r="AH383" s="36"/>
      <c r="AI383" s="36"/>
      <c r="AJ383" s="36"/>
      <c r="AK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AF384" s="36"/>
      <c r="AG384" s="36"/>
      <c r="AH384" s="36"/>
      <c r="AI384" s="36"/>
      <c r="AJ384" s="36"/>
      <c r="AK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AF385" s="36"/>
      <c r="AG385" s="36"/>
      <c r="AH385" s="36"/>
      <c r="AI385" s="36"/>
      <c r="AJ385" s="36"/>
      <c r="AK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AF386" s="36"/>
      <c r="AG386" s="36"/>
      <c r="AH386" s="36"/>
      <c r="AI386" s="36"/>
      <c r="AJ386" s="36"/>
      <c r="AK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AF387" s="36"/>
      <c r="AG387" s="36"/>
      <c r="AH387" s="36"/>
      <c r="AI387" s="36"/>
      <c r="AJ387" s="36"/>
      <c r="AK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AF388" s="36"/>
      <c r="AG388" s="36"/>
      <c r="AH388" s="36"/>
      <c r="AI388" s="36"/>
      <c r="AJ388" s="36"/>
      <c r="AK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AF389" s="36"/>
      <c r="AG389" s="36"/>
      <c r="AH389" s="36"/>
      <c r="AI389" s="36"/>
      <c r="AJ389" s="36"/>
      <c r="AK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AF390" s="36"/>
      <c r="AG390" s="36"/>
      <c r="AH390" s="36"/>
      <c r="AI390" s="36"/>
      <c r="AJ390" s="36"/>
      <c r="AK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AF391" s="36"/>
      <c r="AG391" s="36"/>
      <c r="AH391" s="36"/>
      <c r="AI391" s="36"/>
      <c r="AJ391" s="36"/>
      <c r="AK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AF392" s="36"/>
      <c r="AG392" s="36"/>
      <c r="AH392" s="36"/>
      <c r="AI392" s="36"/>
      <c r="AJ392" s="36"/>
      <c r="AK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AF393" s="36"/>
      <c r="AG393" s="36"/>
      <c r="AH393" s="36"/>
      <c r="AI393" s="36"/>
      <c r="AJ393" s="36"/>
      <c r="AK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AF394" s="36"/>
      <c r="AG394" s="36"/>
      <c r="AH394" s="36"/>
      <c r="AI394" s="36"/>
      <c r="AJ394" s="36"/>
      <c r="AK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AF395" s="36"/>
      <c r="AG395" s="36"/>
      <c r="AH395" s="36"/>
      <c r="AI395" s="36"/>
      <c r="AJ395" s="36"/>
      <c r="AK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AF396" s="36"/>
      <c r="AG396" s="36"/>
      <c r="AH396" s="36"/>
      <c r="AI396" s="36"/>
      <c r="AJ396" s="36"/>
      <c r="AK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AF397" s="36"/>
      <c r="AG397" s="36"/>
      <c r="AH397" s="36"/>
      <c r="AI397" s="36"/>
      <c r="AJ397" s="36"/>
      <c r="AK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AF398" s="36"/>
      <c r="AG398" s="36"/>
      <c r="AH398" s="36"/>
      <c r="AI398" s="36"/>
      <c r="AJ398" s="36"/>
      <c r="AK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AF399" s="36"/>
      <c r="AG399" s="36"/>
      <c r="AH399" s="36"/>
      <c r="AI399" s="36"/>
      <c r="AJ399" s="36"/>
      <c r="AK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AF400" s="36"/>
      <c r="AG400" s="36"/>
      <c r="AH400" s="36"/>
      <c r="AI400" s="36"/>
      <c r="AJ400" s="36"/>
      <c r="AK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AF401" s="36"/>
      <c r="AG401" s="36"/>
      <c r="AH401" s="36"/>
      <c r="AI401" s="36"/>
      <c r="AJ401" s="36"/>
      <c r="AK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AF402" s="36"/>
      <c r="AG402" s="36"/>
      <c r="AH402" s="36"/>
      <c r="AI402" s="36"/>
      <c r="AJ402" s="36"/>
      <c r="AK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AF403" s="36"/>
      <c r="AG403" s="36"/>
      <c r="AH403" s="36"/>
      <c r="AI403" s="36"/>
      <c r="AJ403" s="36"/>
      <c r="AK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AF404" s="36"/>
      <c r="AG404" s="36"/>
      <c r="AH404" s="36"/>
      <c r="AI404" s="36"/>
      <c r="AJ404" s="36"/>
      <c r="AK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AF405" s="36"/>
      <c r="AG405" s="36"/>
      <c r="AH405" s="36"/>
      <c r="AI405" s="36"/>
      <c r="AJ405" s="36"/>
      <c r="AK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AF406" s="36"/>
      <c r="AG406" s="36"/>
      <c r="AH406" s="36"/>
      <c r="AI406" s="36"/>
      <c r="AJ406" s="36"/>
      <c r="AK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AF407" s="36"/>
      <c r="AG407" s="36"/>
      <c r="AH407" s="36"/>
      <c r="AI407" s="36"/>
      <c r="AJ407" s="36"/>
      <c r="AK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AF408" s="36"/>
      <c r="AG408" s="36"/>
      <c r="AH408" s="36"/>
      <c r="AI408" s="36"/>
      <c r="AJ408" s="36"/>
      <c r="AK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AF409" s="36"/>
      <c r="AG409" s="36"/>
      <c r="AH409" s="36"/>
      <c r="AI409" s="36"/>
      <c r="AJ409" s="36"/>
      <c r="AK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AF410" s="36"/>
      <c r="AG410" s="36"/>
      <c r="AH410" s="36"/>
      <c r="AI410" s="36"/>
      <c r="AJ410" s="36"/>
      <c r="AK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AF411" s="36"/>
      <c r="AG411" s="36"/>
      <c r="AH411" s="36"/>
      <c r="AI411" s="36"/>
      <c r="AJ411" s="36"/>
      <c r="AK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AF412" s="36"/>
      <c r="AG412" s="36"/>
      <c r="AH412" s="36"/>
      <c r="AI412" s="36"/>
      <c r="AJ412" s="36"/>
      <c r="AK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AF413" s="36"/>
      <c r="AG413" s="36"/>
      <c r="AH413" s="36"/>
      <c r="AI413" s="36"/>
      <c r="AJ413" s="36"/>
      <c r="AK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AF414" s="36"/>
      <c r="AG414" s="36"/>
      <c r="AH414" s="36"/>
      <c r="AI414" s="36"/>
      <c r="AJ414" s="36"/>
      <c r="AK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AF415" s="36"/>
      <c r="AG415" s="36"/>
      <c r="AH415" s="36"/>
      <c r="AI415" s="36"/>
      <c r="AJ415" s="36"/>
      <c r="AK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AF416" s="36"/>
      <c r="AG416" s="36"/>
      <c r="AH416" s="36"/>
      <c r="AI416" s="36"/>
      <c r="AJ416" s="36"/>
      <c r="AK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AF417" s="36"/>
      <c r="AG417" s="36"/>
      <c r="AH417" s="36"/>
      <c r="AI417" s="36"/>
      <c r="AJ417" s="36"/>
      <c r="AK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AF418" s="36"/>
      <c r="AG418" s="36"/>
      <c r="AH418" s="36"/>
      <c r="AI418" s="36"/>
      <c r="AJ418" s="36"/>
      <c r="AK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AF419" s="36"/>
      <c r="AG419" s="36"/>
      <c r="AH419" s="36"/>
      <c r="AI419" s="36"/>
      <c r="AJ419" s="36"/>
      <c r="AK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AF420" s="36"/>
      <c r="AG420" s="36"/>
      <c r="AH420" s="36"/>
      <c r="AI420" s="36"/>
      <c r="AJ420" s="36"/>
      <c r="AK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AF421" s="36"/>
      <c r="AG421" s="36"/>
      <c r="AH421" s="36"/>
      <c r="AI421" s="36"/>
      <c r="AJ421" s="36"/>
      <c r="AK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AF422" s="36"/>
      <c r="AG422" s="36"/>
      <c r="AH422" s="36"/>
      <c r="AI422" s="36"/>
      <c r="AJ422" s="36"/>
      <c r="AK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AF423" s="36"/>
      <c r="AG423" s="36"/>
      <c r="AH423" s="36"/>
      <c r="AI423" s="36"/>
      <c r="AJ423" s="36"/>
      <c r="AK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AF424" s="36"/>
      <c r="AG424" s="36"/>
      <c r="AH424" s="36"/>
      <c r="AI424" s="36"/>
      <c r="AJ424" s="36"/>
      <c r="AK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AF425" s="36"/>
      <c r="AG425" s="36"/>
      <c r="AH425" s="36"/>
      <c r="AI425" s="36"/>
      <c r="AJ425" s="36"/>
      <c r="AK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AF426" s="36"/>
      <c r="AG426" s="36"/>
      <c r="AH426" s="36"/>
      <c r="AI426" s="36"/>
      <c r="AJ426" s="36"/>
      <c r="AK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AF427" s="36"/>
      <c r="AG427" s="36"/>
      <c r="AH427" s="36"/>
      <c r="AI427" s="36"/>
      <c r="AJ427" s="36"/>
      <c r="AK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AF428" s="36"/>
      <c r="AG428" s="36"/>
      <c r="AH428" s="36"/>
      <c r="AI428" s="36"/>
      <c r="AJ428" s="36"/>
      <c r="AK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AF429" s="36"/>
      <c r="AG429" s="36"/>
      <c r="AH429" s="36"/>
      <c r="AI429" s="36"/>
      <c r="AJ429" s="36"/>
      <c r="AK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AF430" s="36"/>
      <c r="AG430" s="36"/>
      <c r="AH430" s="36"/>
      <c r="AI430" s="36"/>
      <c r="AJ430" s="36"/>
      <c r="AK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AF431" s="36"/>
      <c r="AG431" s="36"/>
      <c r="AH431" s="36"/>
      <c r="AI431" s="36"/>
      <c r="AJ431" s="36"/>
      <c r="AK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AF432" s="36"/>
      <c r="AG432" s="36"/>
      <c r="AH432" s="36"/>
      <c r="AI432" s="36"/>
      <c r="AJ432" s="36"/>
      <c r="AK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AF433" s="36"/>
      <c r="AG433" s="36"/>
      <c r="AH433" s="36"/>
      <c r="AI433" s="36"/>
      <c r="AJ433" s="36"/>
      <c r="AK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AF434" s="36"/>
      <c r="AG434" s="36"/>
      <c r="AH434" s="36"/>
      <c r="AI434" s="36"/>
      <c r="AJ434" s="36"/>
      <c r="AK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AF435" s="36"/>
      <c r="AG435" s="36"/>
      <c r="AH435" s="36"/>
      <c r="AI435" s="36"/>
      <c r="AJ435" s="36"/>
      <c r="AK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AF436" s="36"/>
      <c r="AG436" s="36"/>
      <c r="AH436" s="36"/>
      <c r="AI436" s="36"/>
      <c r="AJ436" s="36"/>
      <c r="AK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AF437" s="36"/>
      <c r="AG437" s="36"/>
      <c r="AH437" s="36"/>
      <c r="AI437" s="36"/>
      <c r="AJ437" s="36"/>
      <c r="AK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AF438" s="36"/>
      <c r="AG438" s="36"/>
      <c r="AH438" s="36"/>
      <c r="AI438" s="36"/>
      <c r="AJ438" s="36"/>
      <c r="AK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AF439" s="36"/>
      <c r="AG439" s="36"/>
      <c r="AH439" s="36"/>
      <c r="AI439" s="36"/>
      <c r="AJ439" s="36"/>
      <c r="AK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AF440" s="36"/>
      <c r="AG440" s="36"/>
      <c r="AH440" s="36"/>
      <c r="AI440" s="36"/>
      <c r="AJ440" s="36"/>
      <c r="AK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AF441" s="36"/>
      <c r="AG441" s="36"/>
      <c r="AH441" s="36"/>
      <c r="AI441" s="36"/>
      <c r="AJ441" s="36"/>
      <c r="AK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AF442" s="36"/>
      <c r="AG442" s="36"/>
      <c r="AH442" s="36"/>
      <c r="AI442" s="36"/>
      <c r="AJ442" s="36"/>
      <c r="AK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AF443" s="36"/>
      <c r="AG443" s="36"/>
      <c r="AH443" s="36"/>
      <c r="AI443" s="36"/>
      <c r="AJ443" s="36"/>
      <c r="AK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AF444" s="36"/>
      <c r="AG444" s="36"/>
      <c r="AH444" s="36"/>
      <c r="AI444" s="36"/>
      <c r="AJ444" s="36"/>
      <c r="AK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AF445" s="36"/>
      <c r="AG445" s="36"/>
      <c r="AH445" s="36"/>
      <c r="AI445" s="36"/>
      <c r="AJ445" s="36"/>
      <c r="AK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AF446" s="36"/>
      <c r="AG446" s="36"/>
      <c r="AH446" s="36"/>
      <c r="AI446" s="36"/>
      <c r="AJ446" s="36"/>
      <c r="AK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AF447" s="36"/>
      <c r="AG447" s="36"/>
      <c r="AH447" s="36"/>
      <c r="AI447" s="36"/>
      <c r="AJ447" s="36"/>
      <c r="AK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AF448" s="36"/>
      <c r="AG448" s="36"/>
      <c r="AH448" s="36"/>
      <c r="AI448" s="36"/>
      <c r="AJ448" s="36"/>
      <c r="AK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AF449" s="36"/>
      <c r="AG449" s="36"/>
      <c r="AH449" s="36"/>
      <c r="AI449" s="36"/>
      <c r="AJ449" s="36"/>
      <c r="AK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AF450" s="36"/>
      <c r="AG450" s="36"/>
      <c r="AH450" s="36"/>
      <c r="AI450" s="36"/>
      <c r="AJ450" s="36"/>
      <c r="AK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AF451" s="36"/>
      <c r="AG451" s="36"/>
      <c r="AH451" s="36"/>
      <c r="AI451" s="36"/>
      <c r="AJ451" s="36"/>
      <c r="AK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AF452" s="36"/>
      <c r="AG452" s="36"/>
      <c r="AH452" s="36"/>
      <c r="AI452" s="36"/>
      <c r="AJ452" s="36"/>
      <c r="AK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AF453" s="36"/>
      <c r="AG453" s="36"/>
      <c r="AH453" s="36"/>
      <c r="AI453" s="36"/>
      <c r="AJ453" s="36"/>
      <c r="AK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AF454" s="36"/>
      <c r="AG454" s="36"/>
      <c r="AH454" s="36"/>
      <c r="AI454" s="36"/>
      <c r="AJ454" s="36"/>
      <c r="AK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AF455" s="36"/>
      <c r="AG455" s="36"/>
      <c r="AH455" s="36"/>
      <c r="AI455" s="36"/>
      <c r="AJ455" s="36"/>
      <c r="AK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AF456" s="36"/>
      <c r="AG456" s="36"/>
      <c r="AH456" s="36"/>
      <c r="AI456" s="36"/>
      <c r="AJ456" s="36"/>
      <c r="AK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AF457" s="36"/>
      <c r="AG457" s="36"/>
      <c r="AH457" s="36"/>
      <c r="AI457" s="36"/>
      <c r="AJ457" s="36"/>
      <c r="AK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AF458" s="36"/>
      <c r="AG458" s="36"/>
      <c r="AH458" s="36"/>
      <c r="AI458" s="36"/>
      <c r="AJ458" s="36"/>
      <c r="AK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AF459" s="36"/>
      <c r="AG459" s="36"/>
      <c r="AH459" s="36"/>
      <c r="AI459" s="36"/>
      <c r="AJ459" s="36"/>
      <c r="AK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AF460" s="36"/>
      <c r="AG460" s="36"/>
      <c r="AH460" s="36"/>
      <c r="AI460" s="36"/>
      <c r="AJ460" s="36"/>
      <c r="AK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AF461" s="36"/>
      <c r="AG461" s="36"/>
      <c r="AH461" s="36"/>
      <c r="AI461" s="36"/>
      <c r="AJ461" s="36"/>
      <c r="AK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AF462" s="36"/>
      <c r="AG462" s="36"/>
      <c r="AH462" s="36"/>
      <c r="AI462" s="36"/>
      <c r="AJ462" s="36"/>
      <c r="AK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AF463" s="36"/>
      <c r="AG463" s="36"/>
      <c r="AH463" s="36"/>
      <c r="AI463" s="36"/>
      <c r="AJ463" s="36"/>
      <c r="AK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AF464" s="36"/>
      <c r="AG464" s="36"/>
      <c r="AH464" s="36"/>
      <c r="AI464" s="36"/>
      <c r="AJ464" s="36"/>
      <c r="AK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AF465" s="36"/>
      <c r="AG465" s="36"/>
      <c r="AH465" s="36"/>
      <c r="AI465" s="36"/>
      <c r="AJ465" s="36"/>
      <c r="AK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AF466" s="36"/>
      <c r="AG466" s="36"/>
      <c r="AH466" s="36"/>
      <c r="AI466" s="36"/>
      <c r="AJ466" s="36"/>
      <c r="AK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AF467" s="36"/>
      <c r="AG467" s="36"/>
      <c r="AH467" s="36"/>
      <c r="AI467" s="36"/>
      <c r="AJ467" s="36"/>
      <c r="AK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AF468" s="36"/>
      <c r="AG468" s="36"/>
      <c r="AH468" s="36"/>
      <c r="AI468" s="36"/>
      <c r="AJ468" s="36"/>
      <c r="AK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AF469" s="36"/>
      <c r="AG469" s="36"/>
      <c r="AH469" s="36"/>
      <c r="AI469" s="36"/>
      <c r="AJ469" s="36"/>
      <c r="AK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AF470" s="36"/>
      <c r="AG470" s="36"/>
      <c r="AH470" s="36"/>
      <c r="AI470" s="36"/>
      <c r="AJ470" s="36"/>
      <c r="AK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AF471" s="36"/>
      <c r="AG471" s="36"/>
      <c r="AH471" s="36"/>
      <c r="AI471" s="36"/>
      <c r="AJ471" s="36"/>
      <c r="AK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AF472" s="36"/>
      <c r="AG472" s="36"/>
      <c r="AH472" s="36"/>
      <c r="AI472" s="36"/>
      <c r="AJ472" s="36"/>
      <c r="AK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AF473" s="36"/>
      <c r="AG473" s="36"/>
      <c r="AH473" s="36"/>
      <c r="AI473" s="36"/>
      <c r="AJ473" s="36"/>
      <c r="AK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AF474" s="36"/>
      <c r="AG474" s="36"/>
      <c r="AH474" s="36"/>
      <c r="AI474" s="36"/>
      <c r="AJ474" s="36"/>
      <c r="AK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AF475" s="36"/>
      <c r="AG475" s="36"/>
      <c r="AH475" s="36"/>
      <c r="AI475" s="36"/>
      <c r="AJ475" s="36"/>
      <c r="AK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AF476" s="36"/>
      <c r="AG476" s="36"/>
      <c r="AH476" s="36"/>
      <c r="AI476" s="36"/>
      <c r="AJ476" s="36"/>
      <c r="AK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AF477" s="36"/>
      <c r="AG477" s="36"/>
      <c r="AH477" s="36"/>
      <c r="AI477" s="36"/>
      <c r="AJ477" s="36"/>
      <c r="AK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AF478" s="36"/>
      <c r="AG478" s="36"/>
      <c r="AH478" s="36"/>
      <c r="AI478" s="36"/>
      <c r="AJ478" s="36"/>
      <c r="AK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AF479" s="36"/>
      <c r="AG479" s="36"/>
      <c r="AH479" s="36"/>
      <c r="AI479" s="36"/>
      <c r="AJ479" s="36"/>
      <c r="AK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AF480" s="36"/>
      <c r="AG480" s="36"/>
      <c r="AH480" s="36"/>
      <c r="AI480" s="36"/>
      <c r="AJ480" s="36"/>
      <c r="AK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AF481" s="36"/>
      <c r="AG481" s="36"/>
      <c r="AH481" s="36"/>
      <c r="AI481" s="36"/>
      <c r="AJ481" s="36"/>
      <c r="AK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AF482" s="36"/>
      <c r="AG482" s="36"/>
      <c r="AH482" s="36"/>
      <c r="AI482" s="36"/>
      <c r="AJ482" s="36"/>
      <c r="AK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AF483" s="36"/>
      <c r="AG483" s="36"/>
      <c r="AH483" s="36"/>
      <c r="AI483" s="36"/>
      <c r="AJ483" s="36"/>
      <c r="AK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AF484" s="36"/>
      <c r="AG484" s="36"/>
      <c r="AH484" s="36"/>
      <c r="AI484" s="36"/>
      <c r="AJ484" s="36"/>
      <c r="AK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AF485" s="36"/>
      <c r="AG485" s="36"/>
      <c r="AH485" s="36"/>
      <c r="AI485" s="36"/>
      <c r="AJ485" s="36"/>
      <c r="AK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AF486" s="36"/>
      <c r="AG486" s="36"/>
      <c r="AH486" s="36"/>
      <c r="AI486" s="36"/>
      <c r="AJ486" s="36"/>
      <c r="AK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AF487" s="36"/>
      <c r="AG487" s="36"/>
      <c r="AH487" s="36"/>
      <c r="AI487" s="36"/>
      <c r="AJ487" s="36"/>
      <c r="AK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AF488" s="36"/>
      <c r="AG488" s="36"/>
      <c r="AH488" s="36"/>
      <c r="AI488" s="36"/>
      <c r="AJ488" s="36"/>
      <c r="AK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AF489" s="36"/>
      <c r="AG489" s="36"/>
      <c r="AH489" s="36"/>
      <c r="AI489" s="36"/>
      <c r="AJ489" s="36"/>
      <c r="AK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AF490" s="36"/>
      <c r="AG490" s="36"/>
      <c r="AH490" s="36"/>
      <c r="AI490" s="36"/>
      <c r="AJ490" s="36"/>
      <c r="AK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AF491" s="36"/>
      <c r="AG491" s="36"/>
      <c r="AH491" s="36"/>
      <c r="AI491" s="36"/>
      <c r="AJ491" s="36"/>
      <c r="AK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AF492" s="36"/>
      <c r="AG492" s="36"/>
      <c r="AH492" s="36"/>
      <c r="AI492" s="36"/>
      <c r="AJ492" s="36"/>
      <c r="AK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AF493" s="36"/>
      <c r="AG493" s="36"/>
      <c r="AH493" s="36"/>
      <c r="AI493" s="36"/>
      <c r="AJ493" s="36"/>
      <c r="AK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AF494" s="36"/>
      <c r="AG494" s="36"/>
      <c r="AH494" s="36"/>
      <c r="AI494" s="36"/>
      <c r="AJ494" s="36"/>
      <c r="AK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AF495" s="36"/>
      <c r="AG495" s="36"/>
      <c r="AH495" s="36"/>
      <c r="AI495" s="36"/>
      <c r="AJ495" s="36"/>
      <c r="AK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AF496" s="36"/>
      <c r="AG496" s="36"/>
      <c r="AH496" s="36"/>
      <c r="AI496" s="36"/>
      <c r="AJ496" s="36"/>
      <c r="AK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AF497" s="36"/>
      <c r="AG497" s="36"/>
      <c r="AH497" s="36"/>
      <c r="AI497" s="36"/>
      <c r="AJ497" s="36"/>
      <c r="AK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AF498" s="36"/>
      <c r="AG498" s="36"/>
      <c r="AH498" s="36"/>
      <c r="AI498" s="36"/>
      <c r="AJ498" s="36"/>
      <c r="AK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AF499" s="36"/>
      <c r="AG499" s="36"/>
      <c r="AH499" s="36"/>
      <c r="AI499" s="36"/>
      <c r="AJ499" s="36"/>
      <c r="AK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AF500" s="36"/>
      <c r="AG500" s="36"/>
      <c r="AH500" s="36"/>
      <c r="AI500" s="36"/>
      <c r="AJ500" s="36"/>
      <c r="AK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AF501" s="36"/>
      <c r="AG501" s="36"/>
      <c r="AH501" s="36"/>
      <c r="AI501" s="36"/>
      <c r="AJ501" s="36"/>
      <c r="AK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AF502" s="36"/>
      <c r="AG502" s="36"/>
      <c r="AH502" s="36"/>
      <c r="AI502" s="36"/>
      <c r="AJ502" s="36"/>
      <c r="AK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AF503" s="36"/>
      <c r="AG503" s="36"/>
      <c r="AH503" s="36"/>
      <c r="AI503" s="36"/>
      <c r="AJ503" s="36"/>
      <c r="AK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AF504" s="36"/>
      <c r="AG504" s="36"/>
      <c r="AH504" s="36"/>
      <c r="AI504" s="36"/>
      <c r="AJ504" s="36"/>
      <c r="AK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AF505" s="36"/>
      <c r="AG505" s="36"/>
      <c r="AH505" s="36"/>
      <c r="AI505" s="36"/>
      <c r="AJ505" s="36"/>
      <c r="AK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AF506" s="36"/>
      <c r="AG506" s="36"/>
      <c r="AH506" s="36"/>
      <c r="AI506" s="36"/>
      <c r="AJ506" s="36"/>
      <c r="AK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AF507" s="36"/>
      <c r="AG507" s="36"/>
      <c r="AH507" s="36"/>
      <c r="AI507" s="36"/>
      <c r="AJ507" s="36"/>
      <c r="AK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AF508" s="36"/>
      <c r="AG508" s="36"/>
      <c r="AH508" s="36"/>
      <c r="AI508" s="36"/>
      <c r="AJ508" s="36"/>
      <c r="AK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AF509" s="36"/>
      <c r="AG509" s="36"/>
      <c r="AH509" s="36"/>
      <c r="AI509" s="36"/>
      <c r="AJ509" s="36"/>
      <c r="AK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AF510" s="36"/>
      <c r="AG510" s="36"/>
      <c r="AH510" s="36"/>
      <c r="AI510" s="36"/>
      <c r="AJ510" s="36"/>
      <c r="AK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AF511" s="36"/>
      <c r="AG511" s="36"/>
      <c r="AH511" s="36"/>
      <c r="AI511" s="36"/>
      <c r="AJ511" s="36"/>
      <c r="AK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AF512" s="36"/>
      <c r="AG512" s="36"/>
      <c r="AH512" s="36"/>
      <c r="AI512" s="36"/>
      <c r="AJ512" s="36"/>
      <c r="AK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AF513" s="36"/>
      <c r="AG513" s="36"/>
      <c r="AH513" s="36"/>
      <c r="AI513" s="36"/>
      <c r="AJ513" s="36"/>
      <c r="AK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AF514" s="36"/>
      <c r="AG514" s="36"/>
      <c r="AH514" s="36"/>
      <c r="AI514" s="36"/>
      <c r="AJ514" s="36"/>
      <c r="AK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AF515" s="36"/>
      <c r="AG515" s="36"/>
      <c r="AH515" s="36"/>
      <c r="AI515" s="36"/>
      <c r="AJ515" s="36"/>
      <c r="AK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AF516" s="36"/>
      <c r="AG516" s="36"/>
      <c r="AH516" s="36"/>
      <c r="AI516" s="36"/>
      <c r="AJ516" s="36"/>
      <c r="AK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AF517" s="36"/>
      <c r="AG517" s="36"/>
      <c r="AH517" s="36"/>
      <c r="AI517" s="36"/>
      <c r="AJ517" s="36"/>
      <c r="AK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AF518" s="36"/>
      <c r="AG518" s="36"/>
      <c r="AH518" s="36"/>
      <c r="AI518" s="36"/>
      <c r="AJ518" s="36"/>
      <c r="AK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AF519" s="36"/>
      <c r="AG519" s="36"/>
      <c r="AH519" s="36"/>
      <c r="AI519" s="36"/>
      <c r="AJ519" s="36"/>
      <c r="AK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AF520" s="36"/>
      <c r="AG520" s="36"/>
      <c r="AH520" s="36"/>
      <c r="AI520" s="36"/>
      <c r="AJ520" s="36"/>
      <c r="AK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AF521" s="36"/>
      <c r="AG521" s="36"/>
      <c r="AH521" s="36"/>
      <c r="AI521" s="36"/>
      <c r="AJ521" s="36"/>
      <c r="AK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AF522" s="36"/>
      <c r="AG522" s="36"/>
      <c r="AH522" s="36"/>
      <c r="AI522" s="36"/>
      <c r="AJ522" s="36"/>
      <c r="AK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AF523" s="36"/>
      <c r="AG523" s="36"/>
      <c r="AH523" s="36"/>
      <c r="AI523" s="36"/>
      <c r="AJ523" s="36"/>
      <c r="AK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AF524" s="36"/>
      <c r="AG524" s="36"/>
      <c r="AH524" s="36"/>
      <c r="AI524" s="36"/>
      <c r="AJ524" s="36"/>
      <c r="AK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AF525" s="36"/>
      <c r="AG525" s="36"/>
      <c r="AH525" s="36"/>
      <c r="AI525" s="36"/>
      <c r="AJ525" s="36"/>
      <c r="AK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AF526" s="36"/>
      <c r="AG526" s="36"/>
      <c r="AH526" s="36"/>
      <c r="AI526" s="36"/>
      <c r="AJ526" s="36"/>
      <c r="AK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AF527" s="36"/>
      <c r="AG527" s="36"/>
      <c r="AH527" s="36"/>
      <c r="AI527" s="36"/>
      <c r="AJ527" s="36"/>
      <c r="AK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AF528" s="36"/>
      <c r="AG528" s="36"/>
      <c r="AH528" s="36"/>
      <c r="AI528" s="36"/>
      <c r="AJ528" s="36"/>
      <c r="AK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AF529" s="36"/>
      <c r="AG529" s="36"/>
      <c r="AH529" s="36"/>
      <c r="AI529" s="36"/>
      <c r="AJ529" s="36"/>
      <c r="AK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AF530" s="36"/>
      <c r="AG530" s="36"/>
      <c r="AH530" s="36"/>
      <c r="AI530" s="36"/>
      <c r="AJ530" s="36"/>
      <c r="AK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AF531" s="36"/>
      <c r="AG531" s="36"/>
      <c r="AH531" s="36"/>
      <c r="AI531" s="36"/>
      <c r="AJ531" s="36"/>
      <c r="AK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AF532" s="36"/>
      <c r="AG532" s="36"/>
      <c r="AH532" s="36"/>
      <c r="AI532" s="36"/>
      <c r="AJ532" s="36"/>
      <c r="AK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AF533" s="36"/>
      <c r="AG533" s="36"/>
      <c r="AH533" s="36"/>
      <c r="AI533" s="36"/>
      <c r="AJ533" s="36"/>
      <c r="AK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AF534" s="36"/>
      <c r="AG534" s="36"/>
      <c r="AH534" s="36"/>
      <c r="AI534" s="36"/>
      <c r="AJ534" s="36"/>
      <c r="AK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AF535" s="36"/>
      <c r="AG535" s="36"/>
      <c r="AH535" s="36"/>
      <c r="AI535" s="36"/>
      <c r="AJ535" s="36"/>
      <c r="AK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AF536" s="36"/>
      <c r="AG536" s="36"/>
      <c r="AH536" s="36"/>
      <c r="AI536" s="36"/>
      <c r="AJ536" s="36"/>
      <c r="AK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AF537" s="36"/>
      <c r="AG537" s="36"/>
      <c r="AH537" s="36"/>
      <c r="AI537" s="36"/>
      <c r="AJ537" s="36"/>
      <c r="AK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AF538" s="36"/>
      <c r="AG538" s="36"/>
      <c r="AH538" s="36"/>
      <c r="AI538" s="36"/>
      <c r="AJ538" s="36"/>
      <c r="AK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AF539" s="36"/>
      <c r="AG539" s="36"/>
      <c r="AH539" s="36"/>
      <c r="AI539" s="36"/>
      <c r="AJ539" s="36"/>
      <c r="AK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AF540" s="36"/>
      <c r="AG540" s="36"/>
      <c r="AH540" s="36"/>
      <c r="AI540" s="36"/>
      <c r="AJ540" s="36"/>
      <c r="AK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AF541" s="36"/>
      <c r="AG541" s="36"/>
      <c r="AH541" s="36"/>
      <c r="AI541" s="36"/>
      <c r="AJ541" s="36"/>
      <c r="AK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AF542" s="36"/>
      <c r="AG542" s="36"/>
      <c r="AH542" s="36"/>
      <c r="AI542" s="36"/>
      <c r="AJ542" s="36"/>
      <c r="AK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AF543" s="36"/>
      <c r="AG543" s="36"/>
      <c r="AH543" s="36"/>
      <c r="AI543" s="36"/>
      <c r="AJ543" s="36"/>
      <c r="AK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AF544" s="36"/>
      <c r="AG544" s="36"/>
      <c r="AH544" s="36"/>
      <c r="AI544" s="36"/>
      <c r="AJ544" s="36"/>
      <c r="AK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AF545" s="36"/>
      <c r="AG545" s="36"/>
      <c r="AH545" s="36"/>
      <c r="AI545" s="36"/>
      <c r="AJ545" s="36"/>
      <c r="AK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AF546" s="36"/>
      <c r="AG546" s="36"/>
      <c r="AH546" s="36"/>
      <c r="AI546" s="36"/>
      <c r="AJ546" s="36"/>
      <c r="AK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AF547" s="36"/>
      <c r="AG547" s="36"/>
      <c r="AH547" s="36"/>
      <c r="AI547" s="36"/>
      <c r="AJ547" s="36"/>
      <c r="AK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AF548" s="36"/>
      <c r="AG548" s="36"/>
      <c r="AH548" s="36"/>
      <c r="AI548" s="36"/>
      <c r="AJ548" s="36"/>
      <c r="AK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AF549" s="36"/>
      <c r="AG549" s="36"/>
      <c r="AH549" s="36"/>
      <c r="AI549" s="36"/>
      <c r="AJ549" s="36"/>
      <c r="AK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AF550" s="36"/>
      <c r="AG550" s="36"/>
      <c r="AH550" s="36"/>
      <c r="AI550" s="36"/>
      <c r="AJ550" s="36"/>
      <c r="AK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AF551" s="36"/>
      <c r="AG551" s="36"/>
      <c r="AH551" s="36"/>
      <c r="AI551" s="36"/>
      <c r="AJ551" s="36"/>
      <c r="AK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AF552" s="36"/>
      <c r="AG552" s="36"/>
      <c r="AH552" s="36"/>
      <c r="AI552" s="36"/>
      <c r="AJ552" s="36"/>
      <c r="AK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AF553" s="36"/>
      <c r="AG553" s="36"/>
      <c r="AH553" s="36"/>
      <c r="AI553" s="36"/>
      <c r="AJ553" s="36"/>
      <c r="AK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AF554" s="36"/>
      <c r="AG554" s="36"/>
      <c r="AH554" s="36"/>
      <c r="AI554" s="36"/>
      <c r="AJ554" s="36"/>
      <c r="AK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AF555" s="36"/>
      <c r="AG555" s="36"/>
      <c r="AH555" s="36"/>
      <c r="AI555" s="36"/>
      <c r="AJ555" s="36"/>
      <c r="AK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AF556" s="36"/>
      <c r="AG556" s="36"/>
      <c r="AH556" s="36"/>
      <c r="AI556" s="36"/>
      <c r="AJ556" s="36"/>
      <c r="AK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AF557" s="36"/>
      <c r="AG557" s="36"/>
      <c r="AH557" s="36"/>
      <c r="AI557" s="36"/>
      <c r="AJ557" s="36"/>
      <c r="AK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AF558" s="36"/>
      <c r="AG558" s="36"/>
      <c r="AH558" s="36"/>
      <c r="AI558" s="36"/>
      <c r="AJ558" s="36"/>
      <c r="AK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AF559" s="36"/>
      <c r="AG559" s="36"/>
      <c r="AH559" s="36"/>
      <c r="AI559" s="36"/>
      <c r="AJ559" s="36"/>
      <c r="AK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AF560" s="36"/>
      <c r="AG560" s="36"/>
      <c r="AH560" s="36"/>
      <c r="AI560" s="36"/>
      <c r="AJ560" s="36"/>
      <c r="AK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AF561" s="36"/>
      <c r="AG561" s="36"/>
      <c r="AH561" s="36"/>
      <c r="AI561" s="36"/>
      <c r="AJ561" s="36"/>
      <c r="AK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AF562" s="36"/>
      <c r="AG562" s="36"/>
      <c r="AH562" s="36"/>
      <c r="AI562" s="36"/>
      <c r="AJ562" s="36"/>
      <c r="AK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AF563" s="36"/>
      <c r="AG563" s="36"/>
      <c r="AH563" s="36"/>
      <c r="AI563" s="36"/>
      <c r="AJ563" s="36"/>
      <c r="AK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AF564" s="36"/>
      <c r="AG564" s="36"/>
      <c r="AH564" s="36"/>
      <c r="AI564" s="36"/>
      <c r="AJ564" s="36"/>
      <c r="AK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AF565" s="36"/>
      <c r="AG565" s="36"/>
      <c r="AH565" s="36"/>
      <c r="AI565" s="36"/>
      <c r="AJ565" s="36"/>
      <c r="AK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AF566" s="36"/>
      <c r="AG566" s="36"/>
      <c r="AH566" s="36"/>
      <c r="AI566" s="36"/>
      <c r="AJ566" s="36"/>
      <c r="AK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AF567" s="36"/>
      <c r="AG567" s="36"/>
      <c r="AH567" s="36"/>
      <c r="AI567" s="36"/>
      <c r="AJ567" s="36"/>
      <c r="AK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AF568" s="36"/>
      <c r="AG568" s="36"/>
      <c r="AH568" s="36"/>
      <c r="AI568" s="36"/>
      <c r="AJ568" s="36"/>
      <c r="AK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AF569" s="36"/>
      <c r="AG569" s="36"/>
      <c r="AH569" s="36"/>
      <c r="AI569" s="36"/>
      <c r="AJ569" s="36"/>
      <c r="AK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AF570" s="36"/>
      <c r="AG570" s="36"/>
      <c r="AH570" s="36"/>
      <c r="AI570" s="36"/>
      <c r="AJ570" s="36"/>
      <c r="AK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AF571" s="36"/>
      <c r="AG571" s="36"/>
      <c r="AH571" s="36"/>
      <c r="AI571" s="36"/>
      <c r="AJ571" s="36"/>
      <c r="AK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AF572" s="36"/>
      <c r="AG572" s="36"/>
      <c r="AH572" s="36"/>
      <c r="AI572" s="36"/>
      <c r="AJ572" s="36"/>
      <c r="AK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AF573" s="36"/>
      <c r="AG573" s="36"/>
      <c r="AH573" s="36"/>
      <c r="AI573" s="36"/>
      <c r="AJ573" s="36"/>
      <c r="AK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AF574" s="36"/>
      <c r="AG574" s="36"/>
      <c r="AH574" s="36"/>
      <c r="AI574" s="36"/>
      <c r="AJ574" s="36"/>
      <c r="AK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AF575" s="36"/>
      <c r="AG575" s="36"/>
      <c r="AH575" s="36"/>
      <c r="AI575" s="36"/>
      <c r="AJ575" s="36"/>
      <c r="AK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AF576" s="36"/>
      <c r="AG576" s="36"/>
      <c r="AH576" s="36"/>
      <c r="AI576" s="36"/>
      <c r="AJ576" s="36"/>
      <c r="AK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AF577" s="36"/>
      <c r="AG577" s="36"/>
      <c r="AH577" s="36"/>
      <c r="AI577" s="36"/>
      <c r="AJ577" s="36"/>
      <c r="AK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AF578" s="36"/>
      <c r="AG578" s="36"/>
      <c r="AH578" s="36"/>
      <c r="AI578" s="36"/>
      <c r="AJ578" s="36"/>
      <c r="AK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AF579" s="36"/>
      <c r="AG579" s="36"/>
      <c r="AH579" s="36"/>
      <c r="AI579" s="36"/>
      <c r="AJ579" s="36"/>
      <c r="AK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AF580" s="36"/>
      <c r="AG580" s="36"/>
      <c r="AH580" s="36"/>
      <c r="AI580" s="36"/>
      <c r="AJ580" s="36"/>
      <c r="AK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AF581" s="36"/>
      <c r="AG581" s="36"/>
      <c r="AH581" s="36"/>
      <c r="AI581" s="36"/>
      <c r="AJ581" s="36"/>
      <c r="AK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AF582" s="36"/>
      <c r="AG582" s="36"/>
      <c r="AH582" s="36"/>
      <c r="AI582" s="36"/>
      <c r="AJ582" s="36"/>
      <c r="AK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AF583" s="36"/>
      <c r="AG583" s="36"/>
      <c r="AH583" s="36"/>
      <c r="AI583" s="36"/>
      <c r="AJ583" s="36"/>
      <c r="AK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AF584" s="36"/>
      <c r="AG584" s="36"/>
      <c r="AH584" s="36"/>
      <c r="AI584" s="36"/>
      <c r="AJ584" s="36"/>
      <c r="AK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AF585" s="36"/>
      <c r="AG585" s="36"/>
      <c r="AH585" s="36"/>
      <c r="AI585" s="36"/>
      <c r="AJ585" s="36"/>
      <c r="AK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AF586" s="36"/>
      <c r="AG586" s="36"/>
      <c r="AH586" s="36"/>
      <c r="AI586" s="36"/>
      <c r="AJ586" s="36"/>
      <c r="AK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AF587" s="36"/>
      <c r="AG587" s="36"/>
      <c r="AH587" s="36"/>
      <c r="AI587" s="36"/>
      <c r="AJ587" s="36"/>
      <c r="AK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AF588" s="36"/>
      <c r="AG588" s="36"/>
      <c r="AH588" s="36"/>
      <c r="AI588" s="36"/>
      <c r="AJ588" s="36"/>
      <c r="AK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AF589" s="36"/>
      <c r="AG589" s="36"/>
      <c r="AH589" s="36"/>
      <c r="AI589" s="36"/>
      <c r="AJ589" s="36"/>
      <c r="AK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AF590" s="36"/>
      <c r="AG590" s="36"/>
      <c r="AH590" s="36"/>
      <c r="AI590" s="36"/>
      <c r="AJ590" s="36"/>
      <c r="AK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AF591" s="36"/>
      <c r="AG591" s="36"/>
      <c r="AH591" s="36"/>
      <c r="AI591" s="36"/>
      <c r="AJ591" s="36"/>
      <c r="AK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AF592" s="36"/>
      <c r="AG592" s="36"/>
      <c r="AH592" s="36"/>
      <c r="AI592" s="36"/>
      <c r="AJ592" s="36"/>
      <c r="AK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AF593" s="36"/>
      <c r="AG593" s="36"/>
      <c r="AH593" s="36"/>
      <c r="AI593" s="36"/>
      <c r="AJ593" s="36"/>
      <c r="AK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AF594" s="36"/>
      <c r="AG594" s="36"/>
      <c r="AH594" s="36"/>
      <c r="AI594" s="36"/>
      <c r="AJ594" s="36"/>
      <c r="AK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AF595" s="36"/>
      <c r="AG595" s="36"/>
      <c r="AH595" s="36"/>
      <c r="AI595" s="36"/>
      <c r="AJ595" s="36"/>
      <c r="AK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AF596" s="36"/>
      <c r="AG596" s="36"/>
      <c r="AH596" s="36"/>
      <c r="AI596" s="36"/>
      <c r="AJ596" s="36"/>
      <c r="AK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AF597" s="36"/>
      <c r="AG597" s="36"/>
      <c r="AH597" s="36"/>
      <c r="AI597" s="36"/>
      <c r="AJ597" s="36"/>
      <c r="AK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AF598" s="36"/>
      <c r="AG598" s="36"/>
      <c r="AH598" s="36"/>
      <c r="AI598" s="36"/>
      <c r="AJ598" s="36"/>
      <c r="AK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AF599" s="36"/>
      <c r="AG599" s="36"/>
      <c r="AH599" s="36"/>
      <c r="AI599" s="36"/>
      <c r="AJ599" s="36"/>
      <c r="AK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AF600" s="36"/>
      <c r="AG600" s="36"/>
      <c r="AH600" s="36"/>
      <c r="AI600" s="36"/>
      <c r="AJ600" s="36"/>
      <c r="AK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AF601" s="36"/>
      <c r="AG601" s="36"/>
      <c r="AH601" s="36"/>
      <c r="AI601" s="36"/>
      <c r="AJ601" s="36"/>
      <c r="AK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AF602" s="36"/>
      <c r="AG602" s="36"/>
      <c r="AH602" s="36"/>
      <c r="AI602" s="36"/>
      <c r="AJ602" s="36"/>
      <c r="AK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AF603" s="36"/>
      <c r="AG603" s="36"/>
      <c r="AH603" s="36"/>
      <c r="AI603" s="36"/>
      <c r="AJ603" s="36"/>
      <c r="AK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AF604" s="36"/>
      <c r="AG604" s="36"/>
      <c r="AH604" s="36"/>
      <c r="AI604" s="36"/>
      <c r="AJ604" s="36"/>
      <c r="AK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AF605" s="36"/>
      <c r="AG605" s="36"/>
      <c r="AH605" s="36"/>
      <c r="AI605" s="36"/>
      <c r="AJ605" s="36"/>
      <c r="AK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AF606" s="36"/>
      <c r="AG606" s="36"/>
      <c r="AH606" s="36"/>
      <c r="AI606" s="36"/>
      <c r="AJ606" s="36"/>
      <c r="AK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AF607" s="36"/>
      <c r="AG607" s="36"/>
      <c r="AH607" s="36"/>
      <c r="AI607" s="36"/>
      <c r="AJ607" s="36"/>
      <c r="AK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AF608" s="36"/>
      <c r="AG608" s="36"/>
      <c r="AH608" s="36"/>
      <c r="AI608" s="36"/>
      <c r="AJ608" s="36"/>
      <c r="AK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AF609" s="36"/>
      <c r="AG609" s="36"/>
      <c r="AH609" s="36"/>
      <c r="AI609" s="36"/>
      <c r="AJ609" s="36"/>
      <c r="AK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AF610" s="36"/>
      <c r="AG610" s="36"/>
      <c r="AH610" s="36"/>
      <c r="AI610" s="36"/>
      <c r="AJ610" s="36"/>
      <c r="AK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AF611" s="36"/>
      <c r="AG611" s="36"/>
      <c r="AH611" s="36"/>
      <c r="AI611" s="36"/>
      <c r="AJ611" s="36"/>
      <c r="AK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AF612" s="36"/>
      <c r="AG612" s="36"/>
      <c r="AH612" s="36"/>
      <c r="AI612" s="36"/>
      <c r="AJ612" s="36"/>
      <c r="AK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AF613" s="36"/>
      <c r="AG613" s="36"/>
      <c r="AH613" s="36"/>
      <c r="AI613" s="36"/>
      <c r="AJ613" s="36"/>
      <c r="AK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AF614" s="36"/>
      <c r="AG614" s="36"/>
      <c r="AH614" s="36"/>
      <c r="AI614" s="36"/>
      <c r="AJ614" s="36"/>
      <c r="AK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AF615" s="36"/>
      <c r="AG615" s="36"/>
      <c r="AH615" s="36"/>
      <c r="AI615" s="36"/>
      <c r="AJ615" s="36"/>
      <c r="AK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AF616" s="36"/>
      <c r="AG616" s="36"/>
      <c r="AH616" s="36"/>
      <c r="AI616" s="36"/>
      <c r="AJ616" s="36"/>
      <c r="AK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AF617" s="36"/>
      <c r="AG617" s="36"/>
      <c r="AH617" s="36"/>
      <c r="AI617" s="36"/>
      <c r="AJ617" s="36"/>
      <c r="AK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AF618" s="36"/>
      <c r="AG618" s="36"/>
      <c r="AH618" s="36"/>
      <c r="AI618" s="36"/>
      <c r="AJ618" s="36"/>
      <c r="AK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AF619" s="36"/>
      <c r="AG619" s="36"/>
      <c r="AH619" s="36"/>
      <c r="AI619" s="36"/>
      <c r="AJ619" s="36"/>
      <c r="AK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AF620" s="36"/>
      <c r="AG620" s="36"/>
      <c r="AH620" s="36"/>
      <c r="AI620" s="36"/>
      <c r="AJ620" s="36"/>
      <c r="AK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AF621" s="36"/>
      <c r="AG621" s="36"/>
      <c r="AH621" s="36"/>
      <c r="AI621" s="36"/>
      <c r="AJ621" s="36"/>
      <c r="AK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AF622" s="36"/>
      <c r="AG622" s="36"/>
      <c r="AH622" s="36"/>
      <c r="AI622" s="36"/>
      <c r="AJ622" s="36"/>
      <c r="AK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AF623" s="36"/>
      <c r="AG623" s="36"/>
      <c r="AH623" s="36"/>
      <c r="AI623" s="36"/>
      <c r="AJ623" s="36"/>
      <c r="AK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AF624" s="36"/>
      <c r="AG624" s="36"/>
      <c r="AH624" s="36"/>
      <c r="AI624" s="36"/>
      <c r="AJ624" s="36"/>
      <c r="AK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AF625" s="36"/>
      <c r="AG625" s="36"/>
      <c r="AH625" s="36"/>
      <c r="AI625" s="36"/>
      <c r="AJ625" s="36"/>
      <c r="AK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AF626" s="36"/>
      <c r="AG626" s="36"/>
      <c r="AH626" s="36"/>
      <c r="AI626" s="36"/>
      <c r="AJ626" s="36"/>
      <c r="AK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AF627" s="36"/>
      <c r="AG627" s="36"/>
      <c r="AH627" s="36"/>
      <c r="AI627" s="36"/>
      <c r="AJ627" s="36"/>
      <c r="AK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AF628" s="36"/>
      <c r="AG628" s="36"/>
      <c r="AH628" s="36"/>
      <c r="AI628" s="36"/>
      <c r="AJ628" s="36"/>
      <c r="AK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AF629" s="36"/>
      <c r="AG629" s="36"/>
      <c r="AH629" s="36"/>
      <c r="AI629" s="36"/>
      <c r="AJ629" s="36"/>
      <c r="AK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AF630" s="36"/>
      <c r="AG630" s="36"/>
      <c r="AH630" s="36"/>
      <c r="AI630" s="36"/>
      <c r="AJ630" s="36"/>
      <c r="AK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AF631" s="36"/>
      <c r="AG631" s="36"/>
      <c r="AH631" s="36"/>
      <c r="AI631" s="36"/>
      <c r="AJ631" s="36"/>
      <c r="AK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AF632" s="36"/>
      <c r="AG632" s="36"/>
      <c r="AH632" s="36"/>
      <c r="AI632" s="36"/>
      <c r="AJ632" s="36"/>
      <c r="AK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AF633" s="36"/>
      <c r="AG633" s="36"/>
      <c r="AH633" s="36"/>
      <c r="AI633" s="36"/>
      <c r="AJ633" s="36"/>
      <c r="AK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AF634" s="36"/>
      <c r="AG634" s="36"/>
      <c r="AH634" s="36"/>
      <c r="AI634" s="36"/>
      <c r="AJ634" s="36"/>
      <c r="AK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AF635" s="36"/>
      <c r="AG635" s="36"/>
      <c r="AH635" s="36"/>
      <c r="AI635" s="36"/>
      <c r="AJ635" s="36"/>
      <c r="AK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AF636" s="36"/>
      <c r="AG636" s="36"/>
      <c r="AH636" s="36"/>
      <c r="AI636" s="36"/>
      <c r="AJ636" s="36"/>
      <c r="AK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AF637" s="36"/>
      <c r="AG637" s="36"/>
      <c r="AH637" s="36"/>
      <c r="AI637" s="36"/>
      <c r="AJ637" s="36"/>
      <c r="AK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AF638" s="36"/>
      <c r="AG638" s="36"/>
      <c r="AH638" s="36"/>
      <c r="AI638" s="36"/>
      <c r="AJ638" s="36"/>
      <c r="AK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AF639" s="36"/>
      <c r="AG639" s="36"/>
      <c r="AH639" s="36"/>
      <c r="AI639" s="36"/>
      <c r="AJ639" s="36"/>
      <c r="AK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AF640" s="36"/>
      <c r="AG640" s="36"/>
      <c r="AH640" s="36"/>
      <c r="AI640" s="36"/>
      <c r="AJ640" s="36"/>
      <c r="AK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AF641" s="36"/>
      <c r="AG641" s="36"/>
      <c r="AH641" s="36"/>
      <c r="AI641" s="36"/>
      <c r="AJ641" s="36"/>
      <c r="AK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AF642" s="36"/>
      <c r="AG642" s="36"/>
      <c r="AH642" s="36"/>
      <c r="AI642" s="36"/>
      <c r="AJ642" s="36"/>
      <c r="AK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AF643" s="36"/>
      <c r="AG643" s="36"/>
      <c r="AH643" s="36"/>
      <c r="AI643" s="36"/>
      <c r="AJ643" s="36"/>
      <c r="AK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AF644" s="36"/>
      <c r="AG644" s="36"/>
      <c r="AH644" s="36"/>
      <c r="AI644" s="36"/>
      <c r="AJ644" s="36"/>
      <c r="AK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AF645" s="36"/>
      <c r="AG645" s="36"/>
      <c r="AH645" s="36"/>
      <c r="AI645" s="36"/>
      <c r="AJ645" s="36"/>
      <c r="AK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AF646" s="36"/>
      <c r="AG646" s="36"/>
      <c r="AH646" s="36"/>
      <c r="AI646" s="36"/>
      <c r="AJ646" s="36"/>
      <c r="AK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AF647" s="36"/>
      <c r="AG647" s="36"/>
      <c r="AH647" s="36"/>
      <c r="AI647" s="36"/>
      <c r="AJ647" s="36"/>
      <c r="AK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AF648" s="36"/>
      <c r="AG648" s="36"/>
      <c r="AH648" s="36"/>
      <c r="AI648" s="36"/>
      <c r="AJ648" s="36"/>
      <c r="AK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AF649" s="36"/>
      <c r="AG649" s="36"/>
      <c r="AH649" s="36"/>
      <c r="AI649" s="36"/>
      <c r="AJ649" s="36"/>
      <c r="AK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AF650" s="36"/>
      <c r="AG650" s="36"/>
      <c r="AH650" s="36"/>
      <c r="AI650" s="36"/>
      <c r="AJ650" s="36"/>
      <c r="AK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AF651" s="36"/>
      <c r="AG651" s="36"/>
      <c r="AH651" s="36"/>
      <c r="AI651" s="36"/>
      <c r="AJ651" s="36"/>
      <c r="AK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AF652" s="36"/>
      <c r="AG652" s="36"/>
      <c r="AH652" s="36"/>
      <c r="AI652" s="36"/>
      <c r="AJ652" s="36"/>
      <c r="AK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AF653" s="36"/>
      <c r="AG653" s="36"/>
      <c r="AH653" s="36"/>
      <c r="AI653" s="36"/>
      <c r="AJ653" s="36"/>
      <c r="AK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AF654" s="36"/>
      <c r="AG654" s="36"/>
      <c r="AH654" s="36"/>
      <c r="AI654" s="36"/>
      <c r="AJ654" s="36"/>
      <c r="AK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AF655" s="36"/>
      <c r="AG655" s="36"/>
      <c r="AH655" s="36"/>
      <c r="AI655" s="36"/>
      <c r="AJ655" s="36"/>
      <c r="AK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AF656" s="36"/>
      <c r="AG656" s="36"/>
      <c r="AH656" s="36"/>
      <c r="AI656" s="36"/>
      <c r="AJ656" s="36"/>
      <c r="AK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AF657" s="36"/>
      <c r="AG657" s="36"/>
      <c r="AH657" s="36"/>
      <c r="AI657" s="36"/>
      <c r="AJ657" s="36"/>
      <c r="AK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AF658" s="36"/>
      <c r="AG658" s="36"/>
      <c r="AH658" s="36"/>
      <c r="AI658" s="36"/>
      <c r="AJ658" s="36"/>
      <c r="AK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AF659" s="36"/>
      <c r="AG659" s="36"/>
      <c r="AH659" s="36"/>
      <c r="AI659" s="36"/>
      <c r="AJ659" s="36"/>
      <c r="AK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AF660" s="36"/>
      <c r="AG660" s="36"/>
      <c r="AH660" s="36"/>
      <c r="AI660" s="36"/>
      <c r="AJ660" s="36"/>
      <c r="AK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AF661" s="36"/>
      <c r="AG661" s="36"/>
      <c r="AH661" s="36"/>
      <c r="AI661" s="36"/>
      <c r="AJ661" s="36"/>
      <c r="AK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AF662" s="36"/>
      <c r="AG662" s="36"/>
      <c r="AH662" s="36"/>
      <c r="AI662" s="36"/>
      <c r="AJ662" s="36"/>
      <c r="AK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AF663" s="36"/>
      <c r="AG663" s="36"/>
      <c r="AH663" s="36"/>
      <c r="AI663" s="36"/>
      <c r="AJ663" s="36"/>
      <c r="AK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AF664" s="36"/>
      <c r="AG664" s="36"/>
      <c r="AH664" s="36"/>
      <c r="AI664" s="36"/>
      <c r="AJ664" s="36"/>
      <c r="AK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AF665" s="36"/>
      <c r="AG665" s="36"/>
      <c r="AH665" s="36"/>
      <c r="AI665" s="36"/>
      <c r="AJ665" s="36"/>
      <c r="AK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AF666" s="36"/>
      <c r="AG666" s="36"/>
      <c r="AH666" s="36"/>
      <c r="AI666" s="36"/>
      <c r="AJ666" s="36"/>
      <c r="AK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AF667" s="36"/>
      <c r="AG667" s="36"/>
      <c r="AH667" s="36"/>
      <c r="AI667" s="36"/>
      <c r="AJ667" s="36"/>
      <c r="AK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AF668" s="36"/>
      <c r="AG668" s="36"/>
      <c r="AH668" s="36"/>
      <c r="AI668" s="36"/>
      <c r="AJ668" s="36"/>
      <c r="AK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AF669" s="36"/>
      <c r="AG669" s="36"/>
      <c r="AH669" s="36"/>
      <c r="AI669" s="36"/>
      <c r="AJ669" s="36"/>
      <c r="AK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AF670" s="36"/>
      <c r="AG670" s="36"/>
      <c r="AH670" s="36"/>
      <c r="AI670" s="36"/>
      <c r="AJ670" s="36"/>
      <c r="AK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AF671" s="36"/>
      <c r="AG671" s="36"/>
      <c r="AH671" s="36"/>
      <c r="AI671" s="36"/>
      <c r="AJ671" s="36"/>
      <c r="AK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AF672" s="36"/>
      <c r="AG672" s="36"/>
      <c r="AH672" s="36"/>
      <c r="AI672" s="36"/>
      <c r="AJ672" s="36"/>
      <c r="AK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AF673" s="36"/>
      <c r="AG673" s="36"/>
      <c r="AH673" s="36"/>
      <c r="AI673" s="36"/>
      <c r="AJ673" s="36"/>
      <c r="AK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AF674" s="36"/>
      <c r="AG674" s="36"/>
      <c r="AH674" s="36"/>
      <c r="AI674" s="36"/>
      <c r="AJ674" s="36"/>
      <c r="AK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AF675" s="36"/>
      <c r="AG675" s="36"/>
      <c r="AH675" s="36"/>
      <c r="AI675" s="36"/>
      <c r="AJ675" s="36"/>
      <c r="AK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AF676" s="36"/>
      <c r="AG676" s="36"/>
      <c r="AH676" s="36"/>
      <c r="AI676" s="36"/>
      <c r="AJ676" s="36"/>
      <c r="AK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AF677" s="36"/>
      <c r="AG677" s="36"/>
      <c r="AH677" s="36"/>
      <c r="AI677" s="36"/>
      <c r="AJ677" s="36"/>
      <c r="AK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AF678" s="36"/>
      <c r="AG678" s="36"/>
      <c r="AH678" s="36"/>
      <c r="AI678" s="36"/>
      <c r="AJ678" s="36"/>
      <c r="AK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AF679" s="36"/>
      <c r="AG679" s="36"/>
      <c r="AH679" s="36"/>
      <c r="AI679" s="36"/>
      <c r="AJ679" s="36"/>
      <c r="AK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AF680" s="36"/>
      <c r="AG680" s="36"/>
      <c r="AH680" s="36"/>
      <c r="AI680" s="36"/>
      <c r="AJ680" s="36"/>
      <c r="AK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AF681" s="36"/>
      <c r="AG681" s="36"/>
      <c r="AH681" s="36"/>
      <c r="AI681" s="36"/>
      <c r="AJ681" s="36"/>
      <c r="AK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AF682" s="36"/>
      <c r="AG682" s="36"/>
      <c r="AH682" s="36"/>
      <c r="AI682" s="36"/>
      <c r="AJ682" s="36"/>
      <c r="AK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AF683" s="36"/>
      <c r="AG683" s="36"/>
      <c r="AH683" s="36"/>
      <c r="AI683" s="36"/>
      <c r="AJ683" s="36"/>
      <c r="AK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AF684" s="36"/>
      <c r="AG684" s="36"/>
      <c r="AH684" s="36"/>
      <c r="AI684" s="36"/>
      <c r="AJ684" s="36"/>
      <c r="AK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AF685" s="36"/>
      <c r="AG685" s="36"/>
      <c r="AH685" s="36"/>
      <c r="AI685" s="36"/>
      <c r="AJ685" s="36"/>
      <c r="AK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AF686" s="36"/>
      <c r="AG686" s="36"/>
      <c r="AH686" s="36"/>
      <c r="AI686" s="36"/>
      <c r="AJ686" s="36"/>
      <c r="AK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AF687" s="36"/>
      <c r="AG687" s="36"/>
      <c r="AH687" s="36"/>
      <c r="AI687" s="36"/>
      <c r="AJ687" s="36"/>
      <c r="AK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AF688" s="36"/>
      <c r="AG688" s="36"/>
      <c r="AH688" s="36"/>
      <c r="AI688" s="36"/>
      <c r="AJ688" s="36"/>
      <c r="AK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AF689" s="36"/>
      <c r="AG689" s="36"/>
      <c r="AH689" s="36"/>
      <c r="AI689" s="36"/>
      <c r="AJ689" s="36"/>
      <c r="AK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AF690" s="36"/>
      <c r="AG690" s="36"/>
      <c r="AH690" s="36"/>
      <c r="AI690" s="36"/>
      <c r="AJ690" s="36"/>
      <c r="AK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AF691" s="36"/>
      <c r="AG691" s="36"/>
      <c r="AH691" s="36"/>
      <c r="AI691" s="36"/>
      <c r="AJ691" s="36"/>
      <c r="AK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AF692" s="36"/>
      <c r="AG692" s="36"/>
      <c r="AH692" s="36"/>
      <c r="AI692" s="36"/>
      <c r="AJ692" s="36"/>
      <c r="AK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AF693" s="36"/>
      <c r="AG693" s="36"/>
      <c r="AH693" s="36"/>
      <c r="AI693" s="36"/>
      <c r="AJ693" s="36"/>
      <c r="AK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AF694" s="36"/>
      <c r="AG694" s="36"/>
      <c r="AH694" s="36"/>
      <c r="AI694" s="36"/>
      <c r="AJ694" s="36"/>
      <c r="AK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AF695" s="36"/>
      <c r="AG695" s="36"/>
      <c r="AH695" s="36"/>
      <c r="AI695" s="36"/>
      <c r="AJ695" s="36"/>
      <c r="AK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AF696" s="36"/>
      <c r="AG696" s="36"/>
      <c r="AH696" s="36"/>
      <c r="AI696" s="36"/>
      <c r="AJ696" s="36"/>
      <c r="AK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AF697" s="36"/>
      <c r="AG697" s="36"/>
      <c r="AH697" s="36"/>
      <c r="AI697" s="36"/>
      <c r="AJ697" s="36"/>
      <c r="AK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AF698" s="36"/>
      <c r="AG698" s="36"/>
      <c r="AH698" s="36"/>
      <c r="AI698" s="36"/>
      <c r="AJ698" s="36"/>
      <c r="AK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AF699" s="36"/>
      <c r="AG699" s="36"/>
      <c r="AH699" s="36"/>
      <c r="AI699" s="36"/>
      <c r="AJ699" s="36"/>
      <c r="AK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AF700" s="36"/>
      <c r="AG700" s="36"/>
      <c r="AH700" s="36"/>
      <c r="AI700" s="36"/>
      <c r="AJ700" s="36"/>
      <c r="AK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AF701" s="36"/>
      <c r="AG701" s="36"/>
      <c r="AH701" s="36"/>
      <c r="AI701" s="36"/>
      <c r="AJ701" s="36"/>
      <c r="AK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AF702" s="36"/>
      <c r="AG702" s="36"/>
      <c r="AH702" s="36"/>
      <c r="AI702" s="36"/>
      <c r="AJ702" s="36"/>
      <c r="AK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AF703" s="36"/>
      <c r="AG703" s="36"/>
      <c r="AH703" s="36"/>
      <c r="AI703" s="36"/>
      <c r="AJ703" s="36"/>
      <c r="AK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AF704" s="36"/>
      <c r="AG704" s="36"/>
      <c r="AH704" s="36"/>
      <c r="AI704" s="36"/>
      <c r="AJ704" s="36"/>
      <c r="AK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AF705" s="36"/>
      <c r="AG705" s="36"/>
      <c r="AH705" s="36"/>
      <c r="AI705" s="36"/>
      <c r="AJ705" s="36"/>
      <c r="AK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AF706" s="36"/>
      <c r="AG706" s="36"/>
      <c r="AH706" s="36"/>
      <c r="AI706" s="36"/>
      <c r="AJ706" s="36"/>
      <c r="AK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AF707" s="36"/>
      <c r="AG707" s="36"/>
      <c r="AH707" s="36"/>
      <c r="AI707" s="36"/>
      <c r="AJ707" s="36"/>
      <c r="AK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AF708" s="36"/>
      <c r="AG708" s="36"/>
      <c r="AH708" s="36"/>
      <c r="AI708" s="36"/>
      <c r="AJ708" s="36"/>
      <c r="AK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AF709" s="36"/>
      <c r="AG709" s="36"/>
      <c r="AH709" s="36"/>
      <c r="AI709" s="36"/>
      <c r="AJ709" s="36"/>
      <c r="AK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AF710" s="36"/>
      <c r="AG710" s="36"/>
      <c r="AH710" s="36"/>
      <c r="AI710" s="36"/>
      <c r="AJ710" s="36"/>
      <c r="AK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AF711" s="36"/>
      <c r="AG711" s="36"/>
      <c r="AH711" s="36"/>
      <c r="AI711" s="36"/>
      <c r="AJ711" s="36"/>
      <c r="AK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AF712" s="36"/>
      <c r="AG712" s="36"/>
      <c r="AH712" s="36"/>
      <c r="AI712" s="36"/>
      <c r="AJ712" s="36"/>
      <c r="AK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AF713" s="36"/>
      <c r="AG713" s="36"/>
      <c r="AH713" s="36"/>
      <c r="AI713" s="36"/>
      <c r="AJ713" s="36"/>
      <c r="AK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AF714" s="36"/>
      <c r="AG714" s="36"/>
      <c r="AH714" s="36"/>
      <c r="AI714" s="36"/>
      <c r="AJ714" s="36"/>
      <c r="AK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AF715" s="36"/>
      <c r="AG715" s="36"/>
      <c r="AH715" s="36"/>
      <c r="AI715" s="36"/>
      <c r="AJ715" s="36"/>
      <c r="AK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AF716" s="36"/>
      <c r="AG716" s="36"/>
      <c r="AH716" s="36"/>
      <c r="AI716" s="36"/>
      <c r="AJ716" s="36"/>
      <c r="AK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AF717" s="36"/>
      <c r="AG717" s="36"/>
      <c r="AH717" s="36"/>
      <c r="AI717" s="36"/>
      <c r="AJ717" s="36"/>
      <c r="AK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AF718" s="36"/>
      <c r="AG718" s="36"/>
      <c r="AH718" s="36"/>
      <c r="AI718" s="36"/>
      <c r="AJ718" s="36"/>
      <c r="AK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AF719" s="36"/>
      <c r="AG719" s="36"/>
      <c r="AH719" s="36"/>
      <c r="AI719" s="36"/>
      <c r="AJ719" s="36"/>
      <c r="AK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AF720" s="36"/>
      <c r="AG720" s="36"/>
      <c r="AH720" s="36"/>
      <c r="AI720" s="36"/>
      <c r="AJ720" s="36"/>
      <c r="AK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AF721" s="36"/>
      <c r="AG721" s="36"/>
      <c r="AH721" s="36"/>
      <c r="AI721" s="36"/>
      <c r="AJ721" s="36"/>
      <c r="AK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AF722" s="36"/>
      <c r="AG722" s="36"/>
      <c r="AH722" s="36"/>
      <c r="AI722" s="36"/>
      <c r="AJ722" s="36"/>
      <c r="AK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AF723" s="36"/>
      <c r="AG723" s="36"/>
      <c r="AH723" s="36"/>
      <c r="AI723" s="36"/>
      <c r="AJ723" s="36"/>
      <c r="AK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AF724" s="36"/>
      <c r="AG724" s="36"/>
      <c r="AH724" s="36"/>
      <c r="AI724" s="36"/>
      <c r="AJ724" s="36"/>
      <c r="AK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AF725" s="36"/>
      <c r="AG725" s="36"/>
      <c r="AH725" s="36"/>
      <c r="AI725" s="36"/>
      <c r="AJ725" s="36"/>
      <c r="AK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AF726" s="36"/>
      <c r="AG726" s="36"/>
      <c r="AH726" s="36"/>
      <c r="AI726" s="36"/>
      <c r="AJ726" s="36"/>
      <c r="AK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AF727" s="36"/>
      <c r="AG727" s="36"/>
      <c r="AH727" s="36"/>
      <c r="AI727" s="36"/>
      <c r="AJ727" s="36"/>
      <c r="AK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AF728" s="36"/>
      <c r="AG728" s="36"/>
      <c r="AH728" s="36"/>
      <c r="AI728" s="36"/>
      <c r="AJ728" s="36"/>
      <c r="AK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AF729" s="36"/>
      <c r="AG729" s="36"/>
      <c r="AH729" s="36"/>
      <c r="AI729" s="36"/>
      <c r="AJ729" s="36"/>
      <c r="AK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AF730" s="36"/>
      <c r="AG730" s="36"/>
      <c r="AH730" s="36"/>
      <c r="AI730" s="36"/>
      <c r="AJ730" s="36"/>
      <c r="AK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AF731" s="36"/>
      <c r="AG731" s="36"/>
      <c r="AH731" s="36"/>
      <c r="AI731" s="36"/>
      <c r="AJ731" s="36"/>
      <c r="AK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AF732" s="36"/>
      <c r="AG732" s="36"/>
      <c r="AH732" s="36"/>
      <c r="AI732" s="36"/>
      <c r="AJ732" s="36"/>
      <c r="AK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AF733" s="36"/>
      <c r="AG733" s="36"/>
      <c r="AH733" s="36"/>
      <c r="AI733" s="36"/>
      <c r="AJ733" s="36"/>
      <c r="AK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AF734" s="36"/>
      <c r="AG734" s="36"/>
      <c r="AH734" s="36"/>
      <c r="AI734" s="36"/>
      <c r="AJ734" s="36"/>
      <c r="AK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AF735" s="36"/>
      <c r="AG735" s="36"/>
      <c r="AH735" s="36"/>
      <c r="AI735" s="36"/>
      <c r="AJ735" s="36"/>
      <c r="AK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AF736" s="36"/>
      <c r="AG736" s="36"/>
      <c r="AH736" s="36"/>
      <c r="AI736" s="36"/>
      <c r="AJ736" s="36"/>
      <c r="AK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AF737" s="36"/>
      <c r="AG737" s="36"/>
      <c r="AH737" s="36"/>
      <c r="AI737" s="36"/>
      <c r="AJ737" s="36"/>
      <c r="AK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AF738" s="36"/>
      <c r="AG738" s="36"/>
      <c r="AH738" s="36"/>
      <c r="AI738" s="36"/>
      <c r="AJ738" s="36"/>
      <c r="AK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AF739" s="36"/>
      <c r="AG739" s="36"/>
      <c r="AH739" s="36"/>
      <c r="AI739" s="36"/>
      <c r="AJ739" s="36"/>
      <c r="AK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AF740" s="36"/>
      <c r="AG740" s="36"/>
      <c r="AH740" s="36"/>
      <c r="AI740" s="36"/>
      <c r="AJ740" s="36"/>
      <c r="A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AF741" s="36"/>
      <c r="AG741" s="36"/>
      <c r="AH741" s="36"/>
      <c r="AI741" s="36"/>
      <c r="AJ741" s="36"/>
      <c r="A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AF742" s="36"/>
      <c r="AG742" s="36"/>
      <c r="AH742" s="36"/>
      <c r="AI742" s="36"/>
      <c r="AJ742" s="36"/>
      <c r="A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AF743" s="36"/>
      <c r="AG743" s="36"/>
      <c r="AH743" s="36"/>
      <c r="AI743" s="36"/>
      <c r="AJ743" s="36"/>
      <c r="A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AF744" s="36"/>
      <c r="AG744" s="36"/>
      <c r="AH744" s="36"/>
      <c r="AI744" s="36"/>
      <c r="AJ744" s="36"/>
      <c r="A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AF745" s="36"/>
      <c r="AG745" s="36"/>
      <c r="AH745" s="36"/>
      <c r="AI745" s="36"/>
      <c r="AJ745" s="36"/>
      <c r="A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AF746" s="36"/>
      <c r="AG746" s="36"/>
      <c r="AH746" s="36"/>
      <c r="AI746" s="36"/>
      <c r="AJ746" s="36"/>
      <c r="A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AF747" s="36"/>
      <c r="AG747" s="36"/>
      <c r="AH747" s="36"/>
      <c r="AI747" s="36"/>
      <c r="AJ747" s="36"/>
      <c r="A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AF748" s="36"/>
      <c r="AG748" s="36"/>
      <c r="AH748" s="36"/>
      <c r="AI748" s="36"/>
      <c r="AJ748" s="36"/>
      <c r="A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AF749" s="36"/>
      <c r="AG749" s="36"/>
      <c r="AH749" s="36"/>
      <c r="AI749" s="36"/>
      <c r="AJ749" s="36"/>
      <c r="A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AF750" s="36"/>
      <c r="AG750" s="36"/>
      <c r="AH750" s="36"/>
      <c r="AI750" s="36"/>
      <c r="AJ750" s="36"/>
      <c r="A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AF751" s="36"/>
      <c r="AG751" s="36"/>
      <c r="AH751" s="36"/>
      <c r="AI751" s="36"/>
      <c r="AJ751" s="36"/>
      <c r="A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AF752" s="36"/>
      <c r="AG752" s="36"/>
      <c r="AH752" s="36"/>
      <c r="AI752" s="36"/>
      <c r="AJ752" s="36"/>
      <c r="A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AF753" s="36"/>
      <c r="AG753" s="36"/>
      <c r="AH753" s="36"/>
      <c r="AI753" s="36"/>
      <c r="AJ753" s="36"/>
      <c r="A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AF754" s="36"/>
      <c r="AG754" s="36"/>
      <c r="AH754" s="36"/>
      <c r="AI754" s="36"/>
      <c r="AJ754" s="36"/>
      <c r="A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AF755" s="36"/>
      <c r="AG755" s="36"/>
      <c r="AH755" s="36"/>
      <c r="AI755" s="36"/>
      <c r="AJ755" s="36"/>
      <c r="A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AF756" s="36"/>
      <c r="AG756" s="36"/>
      <c r="AH756" s="36"/>
      <c r="AI756" s="36"/>
      <c r="AJ756" s="36"/>
      <c r="A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AF757" s="36"/>
      <c r="AG757" s="36"/>
      <c r="AH757" s="36"/>
      <c r="AI757" s="36"/>
      <c r="AJ757" s="36"/>
      <c r="A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AF758" s="36"/>
      <c r="AG758" s="36"/>
      <c r="AH758" s="36"/>
      <c r="AI758" s="36"/>
      <c r="AJ758" s="36"/>
      <c r="A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AF759" s="36"/>
      <c r="AG759" s="36"/>
      <c r="AH759" s="36"/>
      <c r="AI759" s="36"/>
      <c r="AJ759" s="36"/>
      <c r="A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AF760" s="36"/>
      <c r="AG760" s="36"/>
      <c r="AH760" s="36"/>
      <c r="AI760" s="36"/>
      <c r="AJ760" s="36"/>
      <c r="A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AF761" s="36"/>
      <c r="AG761" s="36"/>
      <c r="AH761" s="36"/>
      <c r="AI761" s="36"/>
      <c r="AJ761" s="36"/>
      <c r="A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AF762" s="36"/>
      <c r="AG762" s="36"/>
      <c r="AH762" s="36"/>
      <c r="AI762" s="36"/>
      <c r="AJ762" s="36"/>
      <c r="A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AF763" s="36"/>
      <c r="AG763" s="36"/>
      <c r="AH763" s="36"/>
      <c r="AI763" s="36"/>
      <c r="AJ763" s="36"/>
      <c r="A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AF764" s="36"/>
      <c r="AG764" s="36"/>
      <c r="AH764" s="36"/>
      <c r="AI764" s="36"/>
      <c r="AJ764" s="36"/>
      <c r="A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AF765" s="36"/>
      <c r="AG765" s="36"/>
      <c r="AH765" s="36"/>
      <c r="AI765" s="36"/>
      <c r="AJ765" s="36"/>
      <c r="A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AF766" s="36"/>
      <c r="AG766" s="36"/>
      <c r="AH766" s="36"/>
      <c r="AI766" s="36"/>
      <c r="AJ766" s="36"/>
      <c r="A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AF767" s="36"/>
      <c r="AG767" s="36"/>
      <c r="AH767" s="36"/>
      <c r="AI767" s="36"/>
      <c r="AJ767" s="36"/>
      <c r="A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AF768" s="36"/>
      <c r="AG768" s="36"/>
      <c r="AH768" s="36"/>
      <c r="AI768" s="36"/>
      <c r="AJ768" s="36"/>
      <c r="A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AF769" s="36"/>
      <c r="AG769" s="36"/>
      <c r="AH769" s="36"/>
      <c r="AI769" s="36"/>
      <c r="AJ769" s="36"/>
      <c r="A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AF770" s="36"/>
      <c r="AG770" s="36"/>
      <c r="AH770" s="36"/>
      <c r="AI770" s="36"/>
      <c r="AJ770" s="36"/>
      <c r="A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AF771" s="36"/>
      <c r="AG771" s="36"/>
      <c r="AH771" s="36"/>
      <c r="AI771" s="36"/>
      <c r="AJ771" s="36"/>
      <c r="A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AF772" s="36"/>
      <c r="AG772" s="36"/>
      <c r="AH772" s="36"/>
      <c r="AI772" s="36"/>
      <c r="AJ772" s="36"/>
      <c r="A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AF773" s="36"/>
      <c r="AG773" s="36"/>
      <c r="AH773" s="36"/>
      <c r="AI773" s="36"/>
      <c r="AJ773" s="36"/>
      <c r="A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AF774" s="36"/>
      <c r="AG774" s="36"/>
      <c r="AH774" s="36"/>
      <c r="AI774" s="36"/>
      <c r="AJ774" s="36"/>
      <c r="A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AF775" s="36"/>
      <c r="AG775" s="36"/>
      <c r="AH775" s="36"/>
      <c r="AI775" s="36"/>
      <c r="AJ775" s="36"/>
      <c r="A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AF776" s="36"/>
      <c r="AG776" s="36"/>
      <c r="AH776" s="36"/>
      <c r="AI776" s="36"/>
      <c r="AJ776" s="36"/>
      <c r="A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AF777" s="36"/>
      <c r="AG777" s="36"/>
      <c r="AH777" s="36"/>
      <c r="AI777" s="36"/>
      <c r="AJ777" s="36"/>
      <c r="A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AF778" s="36"/>
      <c r="AG778" s="36"/>
      <c r="AH778" s="36"/>
      <c r="AI778" s="36"/>
      <c r="AJ778" s="36"/>
      <c r="A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AF779" s="36"/>
      <c r="AG779" s="36"/>
      <c r="AH779" s="36"/>
      <c r="AI779" s="36"/>
      <c r="AJ779" s="36"/>
      <c r="A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AF780" s="36"/>
      <c r="AG780" s="36"/>
      <c r="AH780" s="36"/>
      <c r="AI780" s="36"/>
      <c r="AJ780" s="36"/>
      <c r="A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AF781" s="36"/>
      <c r="AG781" s="36"/>
      <c r="AH781" s="36"/>
      <c r="AI781" s="36"/>
      <c r="AJ781" s="36"/>
      <c r="A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AF782" s="36"/>
      <c r="AG782" s="36"/>
      <c r="AH782" s="36"/>
      <c r="AI782" s="36"/>
      <c r="AJ782" s="36"/>
      <c r="A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AF783" s="36"/>
      <c r="AG783" s="36"/>
      <c r="AH783" s="36"/>
      <c r="AI783" s="36"/>
      <c r="AJ783" s="36"/>
      <c r="A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AF784" s="36"/>
      <c r="AG784" s="36"/>
      <c r="AH784" s="36"/>
      <c r="AI784" s="36"/>
      <c r="AJ784" s="36"/>
      <c r="A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AF785" s="36"/>
      <c r="AG785" s="36"/>
      <c r="AH785" s="36"/>
      <c r="AI785" s="36"/>
      <c r="AJ785" s="36"/>
      <c r="A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AF786" s="36"/>
      <c r="AG786" s="36"/>
      <c r="AH786" s="36"/>
      <c r="AI786" s="36"/>
      <c r="AJ786" s="36"/>
      <c r="A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AF787" s="36"/>
      <c r="AG787" s="36"/>
      <c r="AH787" s="36"/>
      <c r="AI787" s="36"/>
      <c r="AJ787" s="36"/>
      <c r="A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AF788" s="36"/>
      <c r="AG788" s="36"/>
      <c r="AH788" s="36"/>
      <c r="AI788" s="36"/>
      <c r="AJ788" s="36"/>
      <c r="A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AF789" s="36"/>
      <c r="AG789" s="36"/>
      <c r="AH789" s="36"/>
      <c r="AI789" s="36"/>
      <c r="AJ789" s="36"/>
      <c r="A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AF790" s="36"/>
      <c r="AG790" s="36"/>
      <c r="AH790" s="36"/>
      <c r="AI790" s="36"/>
      <c r="AJ790" s="36"/>
      <c r="A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AF791" s="36"/>
      <c r="AG791" s="36"/>
      <c r="AH791" s="36"/>
      <c r="AI791" s="36"/>
      <c r="AJ791" s="36"/>
      <c r="A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AF792" s="36"/>
      <c r="AG792" s="36"/>
      <c r="AH792" s="36"/>
      <c r="AI792" s="36"/>
      <c r="AJ792" s="36"/>
      <c r="A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AF793" s="36"/>
      <c r="AG793" s="36"/>
      <c r="AH793" s="36"/>
      <c r="AI793" s="36"/>
      <c r="AJ793" s="36"/>
      <c r="A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AF794" s="36"/>
      <c r="AG794" s="36"/>
      <c r="AH794" s="36"/>
      <c r="AI794" s="36"/>
      <c r="AJ794" s="36"/>
      <c r="A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AF795" s="36"/>
      <c r="AG795" s="36"/>
      <c r="AH795" s="36"/>
      <c r="AI795" s="36"/>
      <c r="AJ795" s="36"/>
      <c r="A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AF796" s="36"/>
      <c r="AG796" s="36"/>
      <c r="AH796" s="36"/>
      <c r="AI796" s="36"/>
      <c r="AJ796" s="36"/>
      <c r="A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AF797" s="36"/>
      <c r="AG797" s="36"/>
      <c r="AH797" s="36"/>
      <c r="AI797" s="36"/>
      <c r="AJ797" s="36"/>
      <c r="A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AF798" s="36"/>
      <c r="AG798" s="36"/>
      <c r="AH798" s="36"/>
      <c r="AI798" s="36"/>
      <c r="AJ798" s="36"/>
      <c r="A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AF799" s="36"/>
      <c r="AG799" s="36"/>
      <c r="AH799" s="36"/>
      <c r="AI799" s="36"/>
      <c r="AJ799" s="36"/>
      <c r="A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AF800" s="36"/>
      <c r="AG800" s="36"/>
      <c r="AH800" s="36"/>
      <c r="AI800" s="36"/>
      <c r="AJ800" s="36"/>
      <c r="A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AF801" s="36"/>
      <c r="AG801" s="36"/>
      <c r="AH801" s="36"/>
      <c r="AI801" s="36"/>
      <c r="AJ801" s="36"/>
      <c r="A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AF802" s="36"/>
      <c r="AG802" s="36"/>
      <c r="AH802" s="36"/>
      <c r="AI802" s="36"/>
      <c r="AJ802" s="36"/>
      <c r="A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AF803" s="36"/>
      <c r="AG803" s="36"/>
      <c r="AH803" s="36"/>
      <c r="AI803" s="36"/>
      <c r="AJ803" s="36"/>
      <c r="A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AF804" s="36"/>
      <c r="AG804" s="36"/>
      <c r="AH804" s="36"/>
      <c r="AI804" s="36"/>
      <c r="AJ804" s="36"/>
      <c r="A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AF805" s="36"/>
      <c r="AG805" s="36"/>
      <c r="AH805" s="36"/>
      <c r="AI805" s="36"/>
      <c r="AJ805" s="36"/>
      <c r="A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AF806" s="36"/>
      <c r="AG806" s="36"/>
      <c r="AH806" s="36"/>
      <c r="AI806" s="36"/>
      <c r="AJ806" s="36"/>
      <c r="A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AF807" s="36"/>
      <c r="AG807" s="36"/>
      <c r="AH807" s="36"/>
      <c r="AI807" s="36"/>
      <c r="AJ807" s="36"/>
      <c r="A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AF808" s="36"/>
      <c r="AG808" s="36"/>
      <c r="AH808" s="36"/>
      <c r="AI808" s="36"/>
      <c r="AJ808" s="36"/>
      <c r="A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AF809" s="36"/>
      <c r="AG809" s="36"/>
      <c r="AH809" s="36"/>
      <c r="AI809" s="36"/>
      <c r="AJ809" s="36"/>
      <c r="A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AF810" s="36"/>
      <c r="AG810" s="36"/>
      <c r="AH810" s="36"/>
      <c r="AI810" s="36"/>
      <c r="AJ810" s="36"/>
      <c r="A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AF811" s="36"/>
      <c r="AG811" s="36"/>
      <c r="AH811" s="36"/>
      <c r="AI811" s="36"/>
      <c r="AJ811" s="36"/>
      <c r="A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AF812" s="36"/>
      <c r="AG812" s="36"/>
      <c r="AH812" s="36"/>
      <c r="AI812" s="36"/>
      <c r="AJ812" s="36"/>
      <c r="A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AF813" s="36"/>
      <c r="AG813" s="36"/>
      <c r="AH813" s="36"/>
      <c r="AI813" s="36"/>
      <c r="AJ813" s="36"/>
      <c r="A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AF814" s="36"/>
      <c r="AG814" s="36"/>
      <c r="AH814" s="36"/>
      <c r="AI814" s="36"/>
      <c r="AJ814" s="36"/>
      <c r="A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AF815" s="36"/>
      <c r="AG815" s="36"/>
      <c r="AH815" s="36"/>
      <c r="AI815" s="36"/>
      <c r="AJ815" s="36"/>
      <c r="A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AF816" s="36"/>
      <c r="AG816" s="36"/>
      <c r="AH816" s="36"/>
      <c r="AI816" s="36"/>
      <c r="AJ816" s="36"/>
      <c r="A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AF817" s="36"/>
      <c r="AG817" s="36"/>
      <c r="AH817" s="36"/>
      <c r="AI817" s="36"/>
      <c r="AJ817" s="36"/>
      <c r="A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AF818" s="36"/>
      <c r="AG818" s="36"/>
      <c r="AH818" s="36"/>
      <c r="AI818" s="36"/>
      <c r="AJ818" s="36"/>
      <c r="A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AF819" s="36"/>
      <c r="AG819" s="36"/>
      <c r="AH819" s="36"/>
      <c r="AI819" s="36"/>
      <c r="AJ819" s="36"/>
      <c r="A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AF820" s="36"/>
      <c r="AG820" s="36"/>
      <c r="AH820" s="36"/>
      <c r="AI820" s="36"/>
      <c r="AJ820" s="36"/>
      <c r="A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AF821" s="36"/>
      <c r="AG821" s="36"/>
      <c r="AH821" s="36"/>
      <c r="AI821" s="36"/>
      <c r="AJ821" s="36"/>
      <c r="A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AF822" s="36"/>
      <c r="AG822" s="36"/>
      <c r="AH822" s="36"/>
      <c r="AI822" s="36"/>
      <c r="AJ822" s="36"/>
      <c r="A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AF823" s="36"/>
      <c r="AG823" s="36"/>
      <c r="AH823" s="36"/>
      <c r="AI823" s="36"/>
      <c r="AJ823" s="36"/>
      <c r="A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AF824" s="36"/>
      <c r="AG824" s="36"/>
      <c r="AH824" s="36"/>
      <c r="AI824" s="36"/>
      <c r="AJ824" s="36"/>
      <c r="A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AF825" s="36"/>
      <c r="AG825" s="36"/>
      <c r="AH825" s="36"/>
      <c r="AI825" s="36"/>
      <c r="AJ825" s="36"/>
      <c r="A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AF826" s="36"/>
      <c r="AG826" s="36"/>
      <c r="AH826" s="36"/>
      <c r="AI826" s="36"/>
      <c r="AJ826" s="36"/>
      <c r="A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AF827" s="36"/>
      <c r="AG827" s="36"/>
      <c r="AH827" s="36"/>
      <c r="AI827" s="36"/>
      <c r="AJ827" s="36"/>
      <c r="A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AF828" s="36"/>
      <c r="AG828" s="36"/>
      <c r="AH828" s="36"/>
      <c r="AI828" s="36"/>
      <c r="AJ828" s="36"/>
      <c r="A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AF829" s="36"/>
      <c r="AG829" s="36"/>
      <c r="AH829" s="36"/>
      <c r="AI829" s="36"/>
      <c r="AJ829" s="36"/>
      <c r="A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AF830" s="36"/>
      <c r="AG830" s="36"/>
      <c r="AH830" s="36"/>
      <c r="AI830" s="36"/>
      <c r="AJ830" s="36"/>
      <c r="A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AF831" s="36"/>
      <c r="AG831" s="36"/>
      <c r="AH831" s="36"/>
      <c r="AI831" s="36"/>
      <c r="AJ831" s="36"/>
      <c r="A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AF832" s="36"/>
      <c r="AG832" s="36"/>
      <c r="AH832" s="36"/>
      <c r="AI832" s="36"/>
      <c r="AJ832" s="36"/>
      <c r="A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AF833" s="36"/>
      <c r="AG833" s="36"/>
      <c r="AH833" s="36"/>
      <c r="AI833" s="36"/>
      <c r="AJ833" s="36"/>
      <c r="A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AF834" s="36"/>
      <c r="AG834" s="36"/>
      <c r="AH834" s="36"/>
      <c r="AI834" s="36"/>
      <c r="AJ834" s="36"/>
      <c r="A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AF835" s="36"/>
      <c r="AG835" s="36"/>
      <c r="AH835" s="36"/>
      <c r="AI835" s="36"/>
      <c r="AJ835" s="36"/>
      <c r="A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AF836" s="36"/>
      <c r="AG836" s="36"/>
      <c r="AH836" s="36"/>
      <c r="AI836" s="36"/>
      <c r="AJ836" s="36"/>
      <c r="A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AF837" s="36"/>
      <c r="AG837" s="36"/>
      <c r="AH837" s="36"/>
      <c r="AI837" s="36"/>
      <c r="AJ837" s="36"/>
      <c r="A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AF838" s="36"/>
      <c r="AG838" s="36"/>
      <c r="AH838" s="36"/>
      <c r="AI838" s="36"/>
      <c r="AJ838" s="36"/>
      <c r="A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AF839" s="36"/>
      <c r="AG839" s="36"/>
      <c r="AH839" s="36"/>
      <c r="AI839" s="36"/>
      <c r="AJ839" s="36"/>
      <c r="A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AF840" s="36"/>
      <c r="AG840" s="36"/>
      <c r="AH840" s="36"/>
      <c r="AI840" s="36"/>
      <c r="AJ840" s="36"/>
      <c r="A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AF841" s="36"/>
      <c r="AG841" s="36"/>
      <c r="AH841" s="36"/>
      <c r="AI841" s="36"/>
      <c r="AJ841" s="36"/>
      <c r="A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AF842" s="36"/>
      <c r="AG842" s="36"/>
      <c r="AH842" s="36"/>
      <c r="AI842" s="36"/>
      <c r="AJ842" s="36"/>
      <c r="A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AF843" s="36"/>
      <c r="AG843" s="36"/>
      <c r="AH843" s="36"/>
      <c r="AI843" s="36"/>
      <c r="AJ843" s="36"/>
      <c r="A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AF844" s="36"/>
      <c r="AG844" s="36"/>
      <c r="AH844" s="36"/>
      <c r="AI844" s="36"/>
      <c r="AJ844" s="36"/>
      <c r="A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AF845" s="36"/>
      <c r="AG845" s="36"/>
      <c r="AH845" s="36"/>
      <c r="AI845" s="36"/>
      <c r="AJ845" s="36"/>
      <c r="A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AF846" s="36"/>
      <c r="AG846" s="36"/>
      <c r="AH846" s="36"/>
      <c r="AI846" s="36"/>
      <c r="AJ846" s="36"/>
      <c r="A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AF847" s="36"/>
      <c r="AG847" s="36"/>
      <c r="AH847" s="36"/>
      <c r="AI847" s="36"/>
      <c r="AJ847" s="36"/>
      <c r="A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AF848" s="36"/>
      <c r="AG848" s="36"/>
      <c r="AH848" s="36"/>
      <c r="AI848" s="36"/>
      <c r="AJ848" s="36"/>
      <c r="A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AF849" s="36"/>
      <c r="AG849" s="36"/>
      <c r="AH849" s="36"/>
      <c r="AI849" s="36"/>
      <c r="AJ849" s="36"/>
      <c r="A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AF850" s="36"/>
      <c r="AG850" s="36"/>
      <c r="AH850" s="36"/>
      <c r="AI850" s="36"/>
      <c r="AJ850" s="36"/>
      <c r="A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AF851" s="36"/>
      <c r="AG851" s="36"/>
      <c r="AH851" s="36"/>
      <c r="AI851" s="36"/>
      <c r="AJ851" s="36"/>
      <c r="A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AF852" s="36"/>
      <c r="AG852" s="36"/>
      <c r="AH852" s="36"/>
      <c r="AI852" s="36"/>
      <c r="AJ852" s="36"/>
      <c r="A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AF853" s="36"/>
      <c r="AG853" s="36"/>
      <c r="AH853" s="36"/>
      <c r="AI853" s="36"/>
      <c r="AJ853" s="36"/>
      <c r="A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AF854" s="36"/>
      <c r="AG854" s="36"/>
      <c r="AH854" s="36"/>
      <c r="AI854" s="36"/>
      <c r="AJ854" s="36"/>
      <c r="A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AF855" s="36"/>
      <c r="AG855" s="36"/>
      <c r="AH855" s="36"/>
      <c r="AI855" s="36"/>
      <c r="AJ855" s="36"/>
      <c r="A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AF856" s="36"/>
      <c r="AG856" s="36"/>
      <c r="AH856" s="36"/>
      <c r="AI856" s="36"/>
      <c r="AJ856" s="36"/>
      <c r="A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AF857" s="36"/>
      <c r="AG857" s="36"/>
      <c r="AH857" s="36"/>
      <c r="AI857" s="36"/>
      <c r="AJ857" s="36"/>
      <c r="A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AF858" s="36"/>
      <c r="AG858" s="36"/>
      <c r="AH858" s="36"/>
      <c r="AI858" s="36"/>
      <c r="AJ858" s="36"/>
      <c r="A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AF859" s="36"/>
      <c r="AG859" s="36"/>
      <c r="AH859" s="36"/>
      <c r="AI859" s="36"/>
      <c r="AJ859" s="36"/>
      <c r="A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AF860" s="36"/>
      <c r="AG860" s="36"/>
      <c r="AH860" s="36"/>
      <c r="AI860" s="36"/>
      <c r="AJ860" s="36"/>
      <c r="A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AF861" s="36"/>
      <c r="AG861" s="36"/>
      <c r="AH861" s="36"/>
      <c r="AI861" s="36"/>
      <c r="AJ861" s="36"/>
      <c r="A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AF862" s="36"/>
      <c r="AG862" s="36"/>
      <c r="AH862" s="36"/>
      <c r="AI862" s="36"/>
      <c r="AJ862" s="36"/>
      <c r="A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AF863" s="36"/>
      <c r="AG863" s="36"/>
      <c r="AH863" s="36"/>
      <c r="AI863" s="36"/>
      <c r="AJ863" s="36"/>
      <c r="A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AF864" s="36"/>
      <c r="AG864" s="36"/>
      <c r="AH864" s="36"/>
      <c r="AI864" s="36"/>
      <c r="AJ864" s="36"/>
      <c r="A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AF865" s="36"/>
      <c r="AG865" s="36"/>
      <c r="AH865" s="36"/>
      <c r="AI865" s="36"/>
      <c r="AJ865" s="36"/>
      <c r="A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AF866" s="36"/>
      <c r="AG866" s="36"/>
      <c r="AH866" s="36"/>
      <c r="AI866" s="36"/>
      <c r="AJ866" s="36"/>
      <c r="A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AF867" s="36"/>
      <c r="AG867" s="36"/>
      <c r="AH867" s="36"/>
      <c r="AI867" s="36"/>
      <c r="AJ867" s="36"/>
      <c r="A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AF868" s="36"/>
      <c r="AG868" s="36"/>
      <c r="AH868" s="36"/>
      <c r="AI868" s="36"/>
      <c r="AJ868" s="36"/>
      <c r="A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AF869" s="36"/>
      <c r="AG869" s="36"/>
      <c r="AH869" s="36"/>
      <c r="AI869" s="36"/>
      <c r="AJ869" s="36"/>
      <c r="A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AF870" s="36"/>
      <c r="AG870" s="36"/>
      <c r="AH870" s="36"/>
      <c r="AI870" s="36"/>
      <c r="AJ870" s="36"/>
      <c r="A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AF871" s="36"/>
      <c r="AG871" s="36"/>
      <c r="AH871" s="36"/>
      <c r="AI871" s="36"/>
      <c r="AJ871" s="36"/>
      <c r="A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AF872" s="36"/>
      <c r="AG872" s="36"/>
      <c r="AH872" s="36"/>
      <c r="AI872" s="36"/>
      <c r="AJ872" s="36"/>
      <c r="A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AF873" s="36"/>
      <c r="AG873" s="36"/>
      <c r="AH873" s="36"/>
      <c r="AI873" s="36"/>
      <c r="AJ873" s="36"/>
      <c r="A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AF874" s="36"/>
      <c r="AG874" s="36"/>
      <c r="AH874" s="36"/>
      <c r="AI874" s="36"/>
      <c r="AJ874" s="36"/>
      <c r="A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AF875" s="36"/>
      <c r="AG875" s="36"/>
      <c r="AH875" s="36"/>
      <c r="AI875" s="36"/>
      <c r="AJ875" s="36"/>
      <c r="A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AF876" s="36"/>
      <c r="AG876" s="36"/>
      <c r="AH876" s="36"/>
      <c r="AI876" s="36"/>
      <c r="AJ876" s="36"/>
      <c r="A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AF877" s="36"/>
      <c r="AG877" s="36"/>
      <c r="AH877" s="36"/>
      <c r="AI877" s="36"/>
      <c r="AJ877" s="36"/>
      <c r="A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AF878" s="36"/>
      <c r="AG878" s="36"/>
      <c r="AH878" s="36"/>
      <c r="AI878" s="36"/>
      <c r="AJ878" s="36"/>
      <c r="A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AF879" s="36"/>
      <c r="AG879" s="36"/>
      <c r="AH879" s="36"/>
      <c r="AI879" s="36"/>
      <c r="AJ879" s="36"/>
      <c r="A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AF880" s="36"/>
      <c r="AG880" s="36"/>
      <c r="AH880" s="36"/>
      <c r="AI880" s="36"/>
      <c r="AJ880" s="36"/>
      <c r="A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AF881" s="36"/>
      <c r="AG881" s="36"/>
      <c r="AH881" s="36"/>
      <c r="AI881" s="36"/>
      <c r="AJ881" s="36"/>
      <c r="A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AF882" s="36"/>
      <c r="AG882" s="36"/>
      <c r="AH882" s="36"/>
      <c r="AI882" s="36"/>
      <c r="AJ882" s="36"/>
      <c r="A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AF883" s="36"/>
      <c r="AG883" s="36"/>
      <c r="AH883" s="36"/>
      <c r="AI883" s="36"/>
      <c r="AJ883" s="36"/>
      <c r="A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AF884" s="36"/>
      <c r="AG884" s="36"/>
      <c r="AH884" s="36"/>
      <c r="AI884" s="36"/>
      <c r="AJ884" s="36"/>
      <c r="A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AF885" s="36"/>
      <c r="AG885" s="36"/>
      <c r="AH885" s="36"/>
      <c r="AI885" s="36"/>
      <c r="AJ885" s="36"/>
      <c r="A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AF886" s="36"/>
      <c r="AG886" s="36"/>
      <c r="AH886" s="36"/>
      <c r="AI886" s="36"/>
      <c r="AJ886" s="36"/>
      <c r="A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AF887" s="36"/>
      <c r="AG887" s="36"/>
      <c r="AH887" s="36"/>
      <c r="AI887" s="36"/>
      <c r="AJ887" s="36"/>
      <c r="A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AF888" s="36"/>
      <c r="AG888" s="36"/>
      <c r="AH888" s="36"/>
      <c r="AI888" s="36"/>
      <c r="AJ888" s="36"/>
      <c r="A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AF889" s="36"/>
      <c r="AG889" s="36"/>
      <c r="AH889" s="36"/>
      <c r="AI889" s="36"/>
      <c r="AJ889" s="36"/>
      <c r="A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AF890" s="36"/>
      <c r="AG890" s="36"/>
      <c r="AH890" s="36"/>
      <c r="AI890" s="36"/>
      <c r="AJ890" s="36"/>
      <c r="A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AF891" s="36"/>
      <c r="AG891" s="36"/>
      <c r="AH891" s="36"/>
      <c r="AI891" s="36"/>
      <c r="AJ891" s="36"/>
      <c r="A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AF892" s="36"/>
      <c r="AG892" s="36"/>
      <c r="AH892" s="36"/>
      <c r="AI892" s="36"/>
      <c r="AJ892" s="36"/>
      <c r="A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AF893" s="36"/>
      <c r="AG893" s="36"/>
      <c r="AH893" s="36"/>
      <c r="AI893" s="36"/>
      <c r="AJ893" s="36"/>
      <c r="A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AF894" s="36"/>
      <c r="AG894" s="36"/>
      <c r="AH894" s="36"/>
      <c r="AI894" s="36"/>
      <c r="AJ894" s="36"/>
      <c r="A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AF895" s="36"/>
      <c r="AG895" s="36"/>
      <c r="AH895" s="36"/>
      <c r="AI895" s="36"/>
      <c r="AJ895" s="36"/>
      <c r="A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AF896" s="36"/>
      <c r="AG896" s="36"/>
      <c r="AH896" s="36"/>
      <c r="AI896" s="36"/>
      <c r="AJ896" s="36"/>
      <c r="A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AF897" s="36"/>
      <c r="AG897" s="36"/>
      <c r="AH897" s="36"/>
      <c r="AI897" s="36"/>
      <c r="AJ897" s="36"/>
      <c r="A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AF898" s="36"/>
      <c r="AG898" s="36"/>
      <c r="AH898" s="36"/>
      <c r="AI898" s="36"/>
      <c r="AJ898" s="36"/>
      <c r="A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AF899" s="36"/>
      <c r="AG899" s="36"/>
      <c r="AH899" s="36"/>
      <c r="AI899" s="36"/>
      <c r="AJ899" s="36"/>
      <c r="A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AF900" s="36"/>
      <c r="AG900" s="36"/>
      <c r="AH900" s="36"/>
      <c r="AI900" s="36"/>
      <c r="AJ900" s="36"/>
      <c r="A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AF901" s="36"/>
      <c r="AG901" s="36"/>
      <c r="AH901" s="36"/>
      <c r="AI901" s="36"/>
      <c r="AJ901" s="36"/>
      <c r="A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AF902" s="36"/>
      <c r="AG902" s="36"/>
      <c r="AH902" s="36"/>
      <c r="AI902" s="36"/>
      <c r="AJ902" s="36"/>
      <c r="A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AF903" s="36"/>
      <c r="AG903" s="36"/>
      <c r="AH903" s="36"/>
      <c r="AI903" s="36"/>
      <c r="AJ903" s="36"/>
      <c r="A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AF904" s="36"/>
      <c r="AG904" s="36"/>
      <c r="AH904" s="36"/>
      <c r="AI904" s="36"/>
      <c r="AJ904" s="36"/>
      <c r="A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AF905" s="36"/>
      <c r="AG905" s="36"/>
      <c r="AH905" s="36"/>
      <c r="AI905" s="36"/>
      <c r="AJ905" s="36"/>
      <c r="A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AF906" s="36"/>
      <c r="AG906" s="36"/>
      <c r="AH906" s="36"/>
      <c r="AI906" s="36"/>
      <c r="AJ906" s="36"/>
      <c r="A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AF907" s="36"/>
      <c r="AG907" s="36"/>
      <c r="AH907" s="36"/>
      <c r="AI907" s="36"/>
      <c r="AJ907" s="36"/>
      <c r="A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AF908" s="36"/>
      <c r="AG908" s="36"/>
      <c r="AH908" s="36"/>
      <c r="AI908" s="36"/>
      <c r="AJ908" s="36"/>
      <c r="A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AF909" s="36"/>
      <c r="AG909" s="36"/>
      <c r="AH909" s="36"/>
      <c r="AI909" s="36"/>
      <c r="AJ909" s="36"/>
      <c r="A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AF910" s="36"/>
      <c r="AG910" s="36"/>
      <c r="AH910" s="36"/>
      <c r="AI910" s="36"/>
      <c r="AJ910" s="36"/>
      <c r="A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AF911" s="36"/>
      <c r="AG911" s="36"/>
      <c r="AH911" s="36"/>
      <c r="AI911" s="36"/>
      <c r="AJ911" s="36"/>
      <c r="A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AF912" s="36"/>
      <c r="AG912" s="36"/>
      <c r="AH912" s="36"/>
      <c r="AI912" s="36"/>
      <c r="AJ912" s="36"/>
      <c r="A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AF913" s="36"/>
      <c r="AG913" s="36"/>
      <c r="AH913" s="36"/>
      <c r="AI913" s="36"/>
      <c r="AJ913" s="36"/>
      <c r="A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AF914" s="36"/>
      <c r="AG914" s="36"/>
      <c r="AH914" s="36"/>
      <c r="AI914" s="36"/>
      <c r="AJ914" s="36"/>
      <c r="A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AF915" s="36"/>
      <c r="AG915" s="36"/>
      <c r="AH915" s="36"/>
      <c r="AI915" s="36"/>
      <c r="AJ915" s="36"/>
      <c r="A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AF916" s="36"/>
      <c r="AG916" s="36"/>
      <c r="AH916" s="36"/>
      <c r="AI916" s="36"/>
      <c r="AJ916" s="36"/>
      <c r="A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AF917" s="36"/>
      <c r="AG917" s="36"/>
      <c r="AH917" s="36"/>
      <c r="AI917" s="36"/>
      <c r="AJ917" s="36"/>
      <c r="A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AF918" s="36"/>
      <c r="AG918" s="36"/>
      <c r="AH918" s="36"/>
      <c r="AI918" s="36"/>
      <c r="AJ918" s="36"/>
      <c r="A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AF919" s="36"/>
      <c r="AG919" s="36"/>
      <c r="AH919" s="36"/>
      <c r="AI919" s="36"/>
      <c r="AJ919" s="36"/>
      <c r="A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AF920" s="36"/>
      <c r="AG920" s="36"/>
      <c r="AH920" s="36"/>
      <c r="AI920" s="36"/>
      <c r="AJ920" s="36"/>
      <c r="A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AF921" s="36"/>
      <c r="AG921" s="36"/>
      <c r="AH921" s="36"/>
      <c r="AI921" s="36"/>
      <c r="AJ921" s="36"/>
      <c r="A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AF922" s="36"/>
      <c r="AG922" s="36"/>
      <c r="AH922" s="36"/>
      <c r="AI922" s="36"/>
      <c r="AJ922" s="36"/>
      <c r="A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AF923" s="36"/>
      <c r="AG923" s="36"/>
      <c r="AH923" s="36"/>
      <c r="AI923" s="36"/>
      <c r="AJ923" s="36"/>
      <c r="A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AF924" s="36"/>
      <c r="AG924" s="36"/>
      <c r="AH924" s="36"/>
      <c r="AI924" s="36"/>
      <c r="AJ924" s="36"/>
      <c r="A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AF925" s="36"/>
      <c r="AG925" s="36"/>
      <c r="AH925" s="36"/>
      <c r="AI925" s="36"/>
      <c r="AJ925" s="36"/>
      <c r="A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AF926" s="36"/>
      <c r="AG926" s="36"/>
      <c r="AH926" s="36"/>
      <c r="AI926" s="36"/>
      <c r="AJ926" s="36"/>
      <c r="A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AF927" s="36"/>
      <c r="AG927" s="36"/>
      <c r="AH927" s="36"/>
      <c r="AI927" s="36"/>
      <c r="AJ927" s="36"/>
      <c r="A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AF928" s="36"/>
      <c r="AG928" s="36"/>
      <c r="AH928" s="36"/>
      <c r="AI928" s="36"/>
      <c r="AJ928" s="36"/>
      <c r="A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AF929" s="36"/>
      <c r="AG929" s="36"/>
      <c r="AH929" s="36"/>
      <c r="AI929" s="36"/>
      <c r="AJ929" s="36"/>
      <c r="A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AF930" s="36"/>
      <c r="AG930" s="36"/>
      <c r="AH930" s="36"/>
      <c r="AI930" s="36"/>
      <c r="AJ930" s="36"/>
      <c r="A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AF931" s="36"/>
      <c r="AG931" s="36"/>
      <c r="AH931" s="36"/>
      <c r="AI931" s="36"/>
      <c r="AJ931" s="36"/>
      <c r="A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AF932" s="36"/>
      <c r="AG932" s="36"/>
      <c r="AH932" s="36"/>
      <c r="AI932" s="36"/>
      <c r="AJ932" s="36"/>
      <c r="A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AF933" s="36"/>
      <c r="AG933" s="36"/>
      <c r="AH933" s="36"/>
      <c r="AI933" s="36"/>
      <c r="AJ933" s="36"/>
      <c r="A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AF934" s="36"/>
      <c r="AG934" s="36"/>
      <c r="AH934" s="36"/>
      <c r="AI934" s="36"/>
      <c r="AJ934" s="36"/>
      <c r="A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AF935" s="36"/>
      <c r="AG935" s="36"/>
      <c r="AH935" s="36"/>
      <c r="AI935" s="36"/>
      <c r="AJ935" s="36"/>
      <c r="A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AF936" s="36"/>
      <c r="AG936" s="36"/>
      <c r="AH936" s="36"/>
      <c r="AI936" s="36"/>
      <c r="AJ936" s="36"/>
      <c r="A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AF937" s="36"/>
      <c r="AG937" s="36"/>
      <c r="AH937" s="36"/>
      <c r="AI937" s="36"/>
      <c r="AJ937" s="36"/>
      <c r="A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AF938" s="36"/>
      <c r="AG938" s="36"/>
      <c r="AH938" s="36"/>
      <c r="AI938" s="36"/>
      <c r="AJ938" s="36"/>
      <c r="A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AF939" s="36"/>
      <c r="AG939" s="36"/>
      <c r="AH939" s="36"/>
      <c r="AI939" s="36"/>
      <c r="AJ939" s="36"/>
      <c r="A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AF940" s="36"/>
      <c r="AG940" s="36"/>
      <c r="AH940" s="36"/>
      <c r="AI940" s="36"/>
      <c r="AJ940" s="36"/>
      <c r="A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AF941" s="36"/>
      <c r="AG941" s="36"/>
      <c r="AH941" s="36"/>
      <c r="AI941" s="36"/>
      <c r="AJ941" s="36"/>
      <c r="A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AF942" s="36"/>
      <c r="AG942" s="36"/>
      <c r="AH942" s="36"/>
      <c r="AI942" s="36"/>
      <c r="AJ942" s="36"/>
      <c r="A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AF943" s="36"/>
      <c r="AG943" s="36"/>
      <c r="AH943" s="36"/>
      <c r="AI943" s="36"/>
      <c r="AJ943" s="36"/>
      <c r="A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AF944" s="36"/>
      <c r="AG944" s="36"/>
      <c r="AH944" s="36"/>
      <c r="AI944" s="36"/>
      <c r="AJ944" s="36"/>
      <c r="A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AF945" s="36"/>
      <c r="AG945" s="36"/>
      <c r="AH945" s="36"/>
      <c r="AI945" s="36"/>
      <c r="AJ945" s="36"/>
      <c r="A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AF946" s="36"/>
      <c r="AG946" s="36"/>
      <c r="AH946" s="36"/>
      <c r="AI946" s="36"/>
      <c r="AJ946" s="36"/>
      <c r="A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AF947" s="36"/>
      <c r="AG947" s="36"/>
      <c r="AH947" s="36"/>
      <c r="AI947" s="36"/>
      <c r="AJ947" s="36"/>
      <c r="A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AF948" s="36"/>
      <c r="AG948" s="36"/>
      <c r="AH948" s="36"/>
      <c r="AI948" s="36"/>
      <c r="AJ948" s="36"/>
      <c r="A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AF949" s="36"/>
      <c r="AG949" s="36"/>
      <c r="AH949" s="36"/>
      <c r="AI949" s="36"/>
      <c r="AJ949" s="36"/>
      <c r="A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AF950" s="36"/>
      <c r="AG950" s="36"/>
      <c r="AH950" s="36"/>
      <c r="AI950" s="36"/>
      <c r="AJ950" s="36"/>
      <c r="A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AF951" s="36"/>
      <c r="AG951" s="36"/>
      <c r="AH951" s="36"/>
      <c r="AI951" s="36"/>
      <c r="AJ951" s="36"/>
      <c r="A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AF952" s="36"/>
      <c r="AG952" s="36"/>
      <c r="AH952" s="36"/>
      <c r="AI952" s="36"/>
      <c r="AJ952" s="36"/>
      <c r="A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AF953" s="36"/>
      <c r="AG953" s="36"/>
      <c r="AH953" s="36"/>
      <c r="AI953" s="36"/>
      <c r="AJ953" s="36"/>
      <c r="A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AF954" s="36"/>
      <c r="AG954" s="36"/>
      <c r="AH954" s="36"/>
      <c r="AI954" s="36"/>
      <c r="AJ954" s="36"/>
      <c r="A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AF955" s="36"/>
      <c r="AG955" s="36"/>
      <c r="AH955" s="36"/>
      <c r="AI955" s="36"/>
      <c r="AJ955" s="36"/>
      <c r="A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AF956" s="36"/>
      <c r="AG956" s="36"/>
      <c r="AH956" s="36"/>
      <c r="AI956" s="36"/>
      <c r="AJ956" s="36"/>
      <c r="A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AF957" s="36"/>
      <c r="AG957" s="36"/>
      <c r="AH957" s="36"/>
      <c r="AI957" s="36"/>
      <c r="AJ957" s="36"/>
      <c r="A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AF958" s="36"/>
      <c r="AG958" s="36"/>
      <c r="AH958" s="36"/>
      <c r="AI958" s="36"/>
      <c r="AJ958" s="36"/>
      <c r="A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AF959" s="36"/>
      <c r="AG959" s="36"/>
      <c r="AH959" s="36"/>
      <c r="AI959" s="36"/>
      <c r="AJ959" s="36"/>
      <c r="A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AF960" s="36"/>
      <c r="AG960" s="36"/>
      <c r="AH960" s="36"/>
      <c r="AI960" s="36"/>
      <c r="AJ960" s="36"/>
      <c r="A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AF961" s="36"/>
      <c r="AG961" s="36"/>
      <c r="AH961" s="36"/>
      <c r="AI961" s="36"/>
      <c r="AJ961" s="36"/>
      <c r="A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AF962" s="36"/>
      <c r="AG962" s="36"/>
      <c r="AH962" s="36"/>
      <c r="AI962" s="36"/>
      <c r="AJ962" s="36"/>
      <c r="A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AF963" s="36"/>
      <c r="AG963" s="36"/>
      <c r="AH963" s="36"/>
      <c r="AI963" s="36"/>
      <c r="AJ963" s="36"/>
      <c r="A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AF964" s="36"/>
      <c r="AG964" s="36"/>
      <c r="AH964" s="36"/>
      <c r="AI964" s="36"/>
      <c r="AJ964" s="36"/>
      <c r="A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AF965" s="36"/>
      <c r="AG965" s="36"/>
      <c r="AH965" s="36"/>
      <c r="AI965" s="36"/>
      <c r="AJ965" s="36"/>
      <c r="A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AF966" s="36"/>
      <c r="AG966" s="36"/>
      <c r="AH966" s="36"/>
      <c r="AI966" s="36"/>
      <c r="AJ966" s="36"/>
      <c r="A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AF967" s="36"/>
      <c r="AG967" s="36"/>
      <c r="AH967" s="36"/>
      <c r="AI967" s="36"/>
      <c r="AJ967" s="36"/>
      <c r="A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AF968" s="36"/>
      <c r="AG968" s="36"/>
      <c r="AH968" s="36"/>
      <c r="AI968" s="36"/>
      <c r="AJ968" s="36"/>
      <c r="A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AF969" s="36"/>
      <c r="AG969" s="36"/>
      <c r="AH969" s="36"/>
      <c r="AI969" s="36"/>
      <c r="AJ969" s="36"/>
      <c r="A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AF970" s="36"/>
      <c r="AG970" s="36"/>
      <c r="AH970" s="36"/>
      <c r="AI970" s="36"/>
      <c r="AJ970" s="36"/>
      <c r="A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AF971" s="36"/>
      <c r="AG971" s="36"/>
      <c r="AH971" s="36"/>
      <c r="AI971" s="36"/>
      <c r="AJ971" s="36"/>
      <c r="A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AF972" s="36"/>
      <c r="AG972" s="36"/>
      <c r="AH972" s="36"/>
      <c r="AI972" s="36"/>
      <c r="AJ972" s="36"/>
      <c r="A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AF973" s="36"/>
      <c r="AG973" s="36"/>
      <c r="AH973" s="36"/>
      <c r="AI973" s="36"/>
      <c r="AJ973" s="36"/>
      <c r="A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AF974" s="36"/>
      <c r="AG974" s="36"/>
      <c r="AH974" s="36"/>
      <c r="AI974" s="36"/>
      <c r="AJ974" s="36"/>
      <c r="A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AF975" s="36"/>
      <c r="AG975" s="36"/>
      <c r="AH975" s="36"/>
      <c r="AI975" s="36"/>
      <c r="AJ975" s="36"/>
      <c r="A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AF976" s="36"/>
      <c r="AG976" s="36"/>
      <c r="AH976" s="36"/>
      <c r="AI976" s="36"/>
      <c r="AJ976" s="36"/>
      <c r="A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AF977" s="36"/>
      <c r="AG977" s="36"/>
      <c r="AH977" s="36"/>
      <c r="AI977" s="36"/>
      <c r="AJ977" s="36"/>
      <c r="A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AF978" s="36"/>
      <c r="AG978" s="36"/>
      <c r="AH978" s="36"/>
      <c r="AI978" s="36"/>
      <c r="AJ978" s="36"/>
      <c r="A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AF979" s="36"/>
      <c r="AG979" s="36"/>
      <c r="AH979" s="36"/>
      <c r="AI979" s="36"/>
      <c r="AJ979" s="36"/>
      <c r="A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AF980" s="36"/>
      <c r="AG980" s="36"/>
      <c r="AH980" s="36"/>
      <c r="AI980" s="36"/>
      <c r="AJ980" s="36"/>
      <c r="A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AF981" s="36"/>
      <c r="AG981" s="36"/>
      <c r="AH981" s="36"/>
      <c r="AI981" s="36"/>
      <c r="AJ981" s="36"/>
      <c r="A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AF982" s="36"/>
      <c r="AG982" s="36"/>
      <c r="AH982" s="36"/>
      <c r="AI982" s="36"/>
      <c r="AJ982" s="36"/>
      <c r="A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AF983" s="36"/>
      <c r="AG983" s="36"/>
      <c r="AH983" s="36"/>
      <c r="AI983" s="36"/>
      <c r="AJ983" s="36"/>
      <c r="A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AF984" s="36"/>
      <c r="AG984" s="36"/>
      <c r="AH984" s="36"/>
      <c r="AI984" s="36"/>
      <c r="AJ984" s="36"/>
      <c r="A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AF985" s="36"/>
      <c r="AG985" s="36"/>
      <c r="AH985" s="36"/>
      <c r="AI985" s="36"/>
      <c r="AJ985" s="36"/>
      <c r="A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AF986" s="36"/>
      <c r="AG986" s="36"/>
      <c r="AH986" s="36"/>
      <c r="AI986" s="36"/>
      <c r="AJ986" s="36"/>
      <c r="A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AF987" s="36"/>
      <c r="AG987" s="36"/>
      <c r="AH987" s="36"/>
      <c r="AI987" s="36"/>
      <c r="AJ987" s="36"/>
      <c r="A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AF988" s="36"/>
      <c r="AG988" s="36"/>
      <c r="AH988" s="36"/>
      <c r="AI988" s="36"/>
      <c r="AJ988" s="36"/>
      <c r="A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AF989" s="36"/>
      <c r="AG989" s="36"/>
      <c r="AH989" s="36"/>
      <c r="AI989" s="36"/>
      <c r="AJ989" s="36"/>
      <c r="A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AF990" s="36"/>
      <c r="AG990" s="36"/>
      <c r="AH990" s="36"/>
      <c r="AI990" s="36"/>
      <c r="AJ990" s="36"/>
      <c r="A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AF991" s="36"/>
      <c r="AG991" s="36"/>
      <c r="AH991" s="36"/>
      <c r="AI991" s="36"/>
      <c r="AJ991" s="36"/>
      <c r="A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AF992" s="36"/>
      <c r="AG992" s="36"/>
      <c r="AH992" s="36"/>
      <c r="AI992" s="36"/>
      <c r="AJ992" s="36"/>
      <c r="A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AF993" s="36"/>
      <c r="AG993" s="36"/>
      <c r="AH993" s="36"/>
      <c r="AI993" s="36"/>
      <c r="AJ993" s="36"/>
      <c r="A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AF994" s="36"/>
      <c r="AG994" s="36"/>
      <c r="AH994" s="36"/>
      <c r="AI994" s="36"/>
      <c r="AJ994" s="36"/>
      <c r="A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AF995" s="36"/>
      <c r="AG995" s="36"/>
      <c r="AH995" s="36"/>
      <c r="AI995" s="36"/>
      <c r="AJ995" s="36"/>
      <c r="A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AF996" s="36"/>
      <c r="AG996" s="36"/>
      <c r="AH996" s="36"/>
      <c r="AI996" s="36"/>
      <c r="AJ996" s="36"/>
      <c r="A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AF997" s="36"/>
      <c r="AG997" s="36"/>
      <c r="AH997" s="36"/>
      <c r="AI997" s="36"/>
      <c r="AJ997" s="36"/>
      <c r="A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AF998" s="36"/>
      <c r="AG998" s="36"/>
      <c r="AH998" s="36"/>
      <c r="AI998" s="36"/>
      <c r="AJ998" s="36"/>
      <c r="A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AF999" s="36"/>
      <c r="AG999" s="36"/>
      <c r="AH999" s="36"/>
      <c r="AI999" s="36"/>
      <c r="AJ999" s="36"/>
      <c r="A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AF1000" s="36"/>
      <c r="AG1000" s="36"/>
      <c r="AH1000" s="36"/>
      <c r="AI1000" s="36"/>
      <c r="AJ1000" s="36"/>
      <c r="AK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AF1001" s="36"/>
      <c r="AG1001" s="36"/>
      <c r="AH1001" s="36"/>
      <c r="AI1001" s="36"/>
      <c r="AJ1001" s="36"/>
      <c r="AK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AF1002" s="36"/>
      <c r="AG1002" s="36"/>
      <c r="AH1002" s="36"/>
      <c r="AI1002" s="36"/>
      <c r="AJ1002" s="36"/>
      <c r="AK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AF1003" s="36"/>
      <c r="AG1003" s="36"/>
      <c r="AH1003" s="36"/>
      <c r="AI1003" s="36"/>
      <c r="AJ1003" s="36"/>
      <c r="AK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AF1004" s="36"/>
      <c r="AG1004" s="36"/>
      <c r="AH1004" s="36"/>
      <c r="AI1004" s="36"/>
      <c r="AJ1004" s="36"/>
      <c r="AK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AF1005" s="36"/>
      <c r="AG1005" s="36"/>
      <c r="AH1005" s="36"/>
      <c r="AI1005" s="36"/>
      <c r="AJ1005" s="36"/>
      <c r="AK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AF1006" s="36"/>
      <c r="AG1006" s="36"/>
      <c r="AH1006" s="36"/>
      <c r="AI1006" s="36"/>
      <c r="AJ1006" s="36"/>
      <c r="AK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AF1007" s="36"/>
      <c r="AG1007" s="36"/>
      <c r="AH1007" s="36"/>
      <c r="AI1007" s="36"/>
      <c r="AJ1007" s="36"/>
      <c r="AK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AF1008" s="36"/>
      <c r="AG1008" s="36"/>
      <c r="AH1008" s="36"/>
      <c r="AI1008" s="36"/>
      <c r="AJ1008" s="36"/>
      <c r="AK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AF1009" s="36"/>
      <c r="AG1009" s="36"/>
      <c r="AH1009" s="36"/>
      <c r="AI1009" s="36"/>
      <c r="AJ1009" s="36"/>
      <c r="AK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AF1010" s="36"/>
      <c r="AG1010" s="36"/>
      <c r="AH1010" s="36"/>
      <c r="AI1010" s="36"/>
      <c r="AJ1010" s="36"/>
      <c r="AK1010" s="36"/>
    </row>
    <row r="101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AF1011" s="36"/>
      <c r="AG1011" s="36"/>
      <c r="AH1011" s="36"/>
      <c r="AI1011" s="36"/>
      <c r="AJ1011" s="36"/>
      <c r="AK1011" s="36"/>
    </row>
  </sheetData>
  <mergeCells count="24">
    <mergeCell ref="AF2:AG2"/>
    <mergeCell ref="AH2:AI2"/>
    <mergeCell ref="B1:G1"/>
    <mergeCell ref="H1:M1"/>
    <mergeCell ref="N1:S1"/>
    <mergeCell ref="T1:Y1"/>
    <mergeCell ref="Z1:AE1"/>
    <mergeCell ref="AF1:AK1"/>
    <mergeCell ref="B2:C2"/>
    <mergeCell ref="AJ2:AK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6.13"/>
    <col customWidth="1" min="6" max="6" width="17.88"/>
    <col customWidth="1" min="7" max="7" width="19.63"/>
    <col customWidth="1" min="8" max="8" width="14.0"/>
  </cols>
  <sheetData>
    <row r="1">
      <c r="A1" s="102" t="s">
        <v>139</v>
      </c>
      <c r="B1" s="102" t="s">
        <v>140</v>
      </c>
      <c r="C1" s="102" t="s">
        <v>141</v>
      </c>
      <c r="D1" s="102" t="s">
        <v>142</v>
      </c>
      <c r="F1" s="39"/>
      <c r="G1" s="39"/>
      <c r="H1" s="39"/>
      <c r="I1" s="39"/>
    </row>
    <row r="2">
      <c r="A2" s="94" t="s">
        <v>129</v>
      </c>
      <c r="B2" s="95">
        <v>162.0</v>
      </c>
      <c r="C2" s="94" t="s">
        <v>143</v>
      </c>
      <c r="D2" s="94" t="s">
        <v>143</v>
      </c>
      <c r="F2" s="40"/>
      <c r="G2" s="40"/>
      <c r="H2" s="40"/>
      <c r="I2" s="40"/>
    </row>
    <row r="3">
      <c r="A3" s="94" t="s">
        <v>130</v>
      </c>
      <c r="B3" s="94" t="s">
        <v>143</v>
      </c>
      <c r="C3" s="95">
        <v>25.0</v>
      </c>
      <c r="D3" s="96">
        <v>10.7949764437947</v>
      </c>
      <c r="F3" s="40"/>
      <c r="G3" s="36"/>
      <c r="H3" s="36"/>
      <c r="I3" s="36"/>
    </row>
    <row r="4">
      <c r="A4" s="94" t="s">
        <v>131</v>
      </c>
      <c r="B4" s="94" t="s">
        <v>143</v>
      </c>
      <c r="C4" s="95">
        <v>84.38499999999999</v>
      </c>
      <c r="D4" s="97">
        <v>1.938639027108545</v>
      </c>
      <c r="F4" s="40"/>
      <c r="G4" s="40"/>
      <c r="H4" s="40"/>
      <c r="I4" s="40"/>
    </row>
    <row r="5">
      <c r="A5" s="94" t="s">
        <v>144</v>
      </c>
      <c r="B5" s="94" t="s">
        <v>143</v>
      </c>
      <c r="C5" s="95">
        <v>45.5</v>
      </c>
      <c r="D5" s="96">
        <v>0.09531293854649532</v>
      </c>
      <c r="F5" s="40"/>
      <c r="G5" s="103"/>
      <c r="H5" s="104"/>
      <c r="I5" s="104"/>
    </row>
    <row r="6">
      <c r="A6" s="94" t="s">
        <v>133</v>
      </c>
      <c r="B6" s="94" t="s">
        <v>143</v>
      </c>
      <c r="C6" s="95">
        <v>157.605</v>
      </c>
      <c r="D6" s="96">
        <v>69.95694022846185</v>
      </c>
      <c r="F6" s="40"/>
      <c r="G6" s="36"/>
      <c r="H6" s="36"/>
      <c r="I6" s="36"/>
    </row>
    <row r="7">
      <c r="A7" s="94" t="s">
        <v>134</v>
      </c>
      <c r="B7" s="94" t="s">
        <v>143</v>
      </c>
      <c r="C7" s="95">
        <v>282.57</v>
      </c>
      <c r="D7" s="96">
        <v>14.299432976607166</v>
      </c>
      <c r="F7" s="40"/>
      <c r="G7" s="40"/>
      <c r="H7" s="103"/>
      <c r="I7" s="103"/>
    </row>
    <row r="8">
      <c r="F8" s="40"/>
      <c r="G8" s="103"/>
      <c r="H8" s="40"/>
      <c r="I8" s="40"/>
    </row>
    <row r="9">
      <c r="F9" s="40"/>
      <c r="G9" s="36"/>
      <c r="H9" s="36"/>
      <c r="I9" s="36"/>
    </row>
    <row r="10">
      <c r="A10" s="102" t="s">
        <v>147</v>
      </c>
      <c r="B10" s="102" t="s">
        <v>140</v>
      </c>
      <c r="C10" s="102" t="s">
        <v>141</v>
      </c>
      <c r="D10" s="102" t="s">
        <v>142</v>
      </c>
      <c r="F10" s="40"/>
      <c r="G10" s="40"/>
      <c r="H10" s="40"/>
      <c r="I10" s="40"/>
    </row>
    <row r="11">
      <c r="A11" s="94" t="s">
        <v>129</v>
      </c>
      <c r="B11" s="95">
        <v>162.0</v>
      </c>
      <c r="C11" s="94" t="s">
        <v>143</v>
      </c>
      <c r="D11" s="94" t="s">
        <v>143</v>
      </c>
      <c r="F11" s="40"/>
      <c r="G11" s="103"/>
      <c r="H11" s="103"/>
      <c r="I11" s="103"/>
    </row>
    <row r="12">
      <c r="A12" s="94" t="s">
        <v>130</v>
      </c>
      <c r="B12" s="94" t="s">
        <v>143</v>
      </c>
      <c r="C12" s="95">
        <v>25.0</v>
      </c>
      <c r="D12" s="96">
        <v>11.088212620593856</v>
      </c>
      <c r="F12" s="40"/>
      <c r="G12" s="36"/>
      <c r="H12" s="36"/>
      <c r="I12" s="36"/>
    </row>
    <row r="13">
      <c r="A13" s="94" t="s">
        <v>131</v>
      </c>
      <c r="B13" s="94" t="s">
        <v>143</v>
      </c>
      <c r="C13" s="95">
        <v>87.175</v>
      </c>
      <c r="D13" s="97">
        <v>12.667940773667329</v>
      </c>
      <c r="F13" s="40"/>
      <c r="G13" s="40"/>
      <c r="H13" s="103"/>
      <c r="I13" s="103"/>
    </row>
    <row r="14">
      <c r="A14" s="94" t="s">
        <v>144</v>
      </c>
      <c r="B14" s="94" t="s">
        <v>143</v>
      </c>
      <c r="C14" s="95">
        <v>45.5</v>
      </c>
      <c r="D14" s="96">
        <v>0.7344402737617717</v>
      </c>
      <c r="F14" s="40"/>
      <c r="G14" s="103"/>
      <c r="H14" s="103"/>
      <c r="I14" s="103"/>
    </row>
    <row r="15">
      <c r="A15" s="94" t="s">
        <v>133</v>
      </c>
      <c r="B15" s="94" t="s">
        <v>143</v>
      </c>
      <c r="C15" s="95">
        <v>143.555</v>
      </c>
      <c r="D15" s="96">
        <v>73.26383064526186</v>
      </c>
      <c r="F15" s="40"/>
      <c r="G15" s="36"/>
      <c r="H15" s="36"/>
      <c r="I15" s="36"/>
    </row>
    <row r="16">
      <c r="A16" s="94" t="s">
        <v>134</v>
      </c>
      <c r="B16" s="94" t="s">
        <v>143</v>
      </c>
      <c r="C16" s="95">
        <v>282.6</v>
      </c>
      <c r="D16" s="96">
        <v>38.68059406876051</v>
      </c>
      <c r="F16" s="40"/>
      <c r="G16" s="103"/>
      <c r="H16" s="40"/>
      <c r="I16" s="40"/>
    </row>
    <row r="17">
      <c r="F17" s="40"/>
      <c r="G17" s="103"/>
      <c r="H17" s="103"/>
      <c r="I17" s="10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5"/>
    <col customWidth="1" min="2" max="3" width="8.5"/>
    <col customWidth="1" min="4" max="5" width="7.5"/>
    <col customWidth="1" min="6" max="7" width="7.25"/>
    <col customWidth="1" min="8" max="9" width="10.0"/>
    <col customWidth="1" min="10" max="11" width="10.25"/>
    <col customWidth="1" min="12" max="13" width="8.38"/>
    <col customWidth="1" min="14" max="15" width="11.75"/>
  </cols>
  <sheetData>
    <row r="1">
      <c r="A1" s="1" t="s">
        <v>148</v>
      </c>
      <c r="B1" s="5" t="s">
        <v>2</v>
      </c>
      <c r="C1" s="3"/>
      <c r="D1" s="4"/>
      <c r="E1" s="6" t="s">
        <v>3</v>
      </c>
      <c r="F1" s="3"/>
      <c r="G1" s="4"/>
      <c r="H1" s="7" t="s">
        <v>4</v>
      </c>
      <c r="I1" s="3"/>
      <c r="J1" s="4"/>
      <c r="K1" s="8" t="s">
        <v>5</v>
      </c>
      <c r="L1" s="3"/>
      <c r="M1" s="4"/>
      <c r="N1" s="9" t="s">
        <v>6</v>
      </c>
      <c r="O1" s="3"/>
      <c r="P1" s="4"/>
      <c r="T1" s="105"/>
      <c r="U1" s="105"/>
      <c r="V1" s="105"/>
      <c r="W1" s="105"/>
      <c r="X1" s="105"/>
      <c r="Y1" s="105"/>
    </row>
    <row r="2">
      <c r="A2" s="10" t="s">
        <v>7</v>
      </c>
      <c r="B2" s="12">
        <v>4096.0</v>
      </c>
      <c r="C2" s="12">
        <v>8192.0</v>
      </c>
      <c r="D2" s="12">
        <v>16384.0</v>
      </c>
      <c r="E2" s="13">
        <v>4096.0</v>
      </c>
      <c r="F2" s="13">
        <v>8192.0</v>
      </c>
      <c r="G2" s="13">
        <v>16384.0</v>
      </c>
      <c r="H2" s="14">
        <v>4096.0</v>
      </c>
      <c r="I2" s="14">
        <v>8192.0</v>
      </c>
      <c r="J2" s="14">
        <v>16384.0</v>
      </c>
      <c r="K2" s="15">
        <v>4096.0</v>
      </c>
      <c r="L2" s="15">
        <v>8192.0</v>
      </c>
      <c r="M2" s="15">
        <v>16384.0</v>
      </c>
      <c r="N2" s="16">
        <v>4096.0</v>
      </c>
      <c r="O2" s="16">
        <v>8192.0</v>
      </c>
      <c r="P2" s="16">
        <v>16384.0</v>
      </c>
      <c r="T2" s="106"/>
      <c r="U2" s="106"/>
      <c r="W2" s="106"/>
      <c r="Y2" s="106"/>
      <c r="AA2" s="106"/>
      <c r="AC2" s="106"/>
      <c r="AL2" s="17"/>
      <c r="AM2" s="17"/>
      <c r="AN2" s="17"/>
      <c r="AO2" s="17"/>
      <c r="AP2" s="17"/>
      <c r="AQ2" s="17"/>
      <c r="AR2" s="17"/>
    </row>
    <row r="3">
      <c r="A3" s="18" t="s">
        <v>8</v>
      </c>
      <c r="B3" s="20"/>
      <c r="C3" s="20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L3" s="17"/>
      <c r="AM3" s="17"/>
      <c r="AN3" s="17"/>
      <c r="AO3" s="17"/>
      <c r="AP3" s="17"/>
      <c r="AQ3" s="17"/>
      <c r="AR3" s="17"/>
    </row>
    <row r="4">
      <c r="A4" s="23" t="s">
        <v>9</v>
      </c>
      <c r="B4" s="25">
        <v>25.0</v>
      </c>
      <c r="C4" s="25">
        <v>25.0</v>
      </c>
      <c r="D4" s="25">
        <v>25.0</v>
      </c>
      <c r="E4" s="26">
        <v>84.648</v>
      </c>
      <c r="F4" s="26">
        <v>81.441</v>
      </c>
      <c r="G4" s="26">
        <v>86.375</v>
      </c>
      <c r="H4" s="27">
        <v>45.5</v>
      </c>
      <c r="I4" s="27">
        <v>45.5</v>
      </c>
      <c r="J4" s="27">
        <v>45.5</v>
      </c>
      <c r="K4" s="28">
        <v>50.01</v>
      </c>
      <c r="L4" s="28">
        <v>79.68</v>
      </c>
      <c r="M4" s="28">
        <v>85.26</v>
      </c>
      <c r="N4" s="29">
        <v>280.864</v>
      </c>
      <c r="O4" s="29">
        <v>282.556</v>
      </c>
      <c r="P4" s="29">
        <v>282.556</v>
      </c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</row>
    <row r="5">
      <c r="A5" s="23" t="s">
        <v>10</v>
      </c>
      <c r="B5" s="25">
        <v>33.3</v>
      </c>
      <c r="C5" s="25">
        <v>25.0</v>
      </c>
      <c r="D5" s="25">
        <v>50.0</v>
      </c>
      <c r="E5" s="26">
        <v>84.328</v>
      </c>
      <c r="F5" s="26">
        <v>83.305</v>
      </c>
      <c r="G5" s="26">
        <v>82.91</v>
      </c>
      <c r="H5" s="27">
        <v>45.5</v>
      </c>
      <c r="I5" s="27">
        <v>45.5</v>
      </c>
      <c r="J5" s="27">
        <v>45.5</v>
      </c>
      <c r="K5" s="30">
        <v>52.04</v>
      </c>
      <c r="L5" s="30">
        <v>80.07</v>
      </c>
      <c r="M5" s="30">
        <v>84.73</v>
      </c>
      <c r="N5" s="29">
        <v>280.713</v>
      </c>
      <c r="O5" s="29">
        <v>282.442</v>
      </c>
      <c r="P5" s="29">
        <v>282.442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>
      <c r="A6" s="23" t="s">
        <v>11</v>
      </c>
      <c r="B6" s="25">
        <v>37.8</v>
      </c>
      <c r="C6" s="25">
        <v>38.7</v>
      </c>
      <c r="D6" s="25">
        <v>44.4</v>
      </c>
      <c r="E6" s="26">
        <v>84.957</v>
      </c>
      <c r="F6" s="26">
        <v>86.189</v>
      </c>
      <c r="G6" s="26">
        <v>83.773</v>
      </c>
      <c r="H6" s="27">
        <v>45.5</v>
      </c>
      <c r="I6" s="27">
        <v>45.5</v>
      </c>
      <c r="J6" s="27">
        <v>45.5</v>
      </c>
      <c r="K6" s="30">
        <v>52.45</v>
      </c>
      <c r="L6" s="30">
        <v>76.66</v>
      </c>
      <c r="M6" s="30">
        <v>81.63</v>
      </c>
      <c r="N6" s="29">
        <v>284.95</v>
      </c>
      <c r="O6" s="29">
        <v>286.653</v>
      </c>
      <c r="P6" s="29">
        <v>286.653</v>
      </c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</row>
    <row r="7">
      <c r="A7" s="31" t="s">
        <v>12</v>
      </c>
      <c r="B7" s="32">
        <f t="shared" ref="B7:P7" si="1">MEDIAN(B4:B6)</f>
        <v>33.3</v>
      </c>
      <c r="C7" s="32">
        <f t="shared" si="1"/>
        <v>25</v>
      </c>
      <c r="D7" s="32">
        <f t="shared" si="1"/>
        <v>44.4</v>
      </c>
      <c r="E7" s="32">
        <f t="shared" si="1"/>
        <v>84.648</v>
      </c>
      <c r="F7" s="32">
        <f t="shared" si="1"/>
        <v>83.305</v>
      </c>
      <c r="G7" s="32">
        <f t="shared" si="1"/>
        <v>83.773</v>
      </c>
      <c r="H7" s="32">
        <f t="shared" si="1"/>
        <v>45.5</v>
      </c>
      <c r="I7" s="32">
        <f t="shared" si="1"/>
        <v>45.5</v>
      </c>
      <c r="J7" s="32">
        <f t="shared" si="1"/>
        <v>45.5</v>
      </c>
      <c r="K7" s="32">
        <f t="shared" si="1"/>
        <v>52.04</v>
      </c>
      <c r="L7" s="32">
        <f t="shared" si="1"/>
        <v>79.68</v>
      </c>
      <c r="M7" s="32">
        <f t="shared" si="1"/>
        <v>84.73</v>
      </c>
      <c r="N7" s="32">
        <f t="shared" si="1"/>
        <v>280.864</v>
      </c>
      <c r="O7" s="32">
        <f t="shared" si="1"/>
        <v>282.556</v>
      </c>
      <c r="P7" s="32">
        <f t="shared" si="1"/>
        <v>282.556</v>
      </c>
    </row>
    <row r="8">
      <c r="A8" s="36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>
      <c r="A9" s="18" t="s">
        <v>14</v>
      </c>
      <c r="B9" s="20"/>
      <c r="C9" s="20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>
      <c r="A10" s="23" t="s">
        <v>15</v>
      </c>
      <c r="B10" s="38">
        <v>25.0</v>
      </c>
      <c r="C10" s="38">
        <v>25.0</v>
      </c>
      <c r="D10" s="38">
        <v>25.0</v>
      </c>
      <c r="E10" s="26">
        <v>84.699</v>
      </c>
      <c r="F10" s="26">
        <v>83.0</v>
      </c>
      <c r="G10" s="26">
        <v>83.652</v>
      </c>
      <c r="H10" s="27">
        <v>45.5</v>
      </c>
      <c r="I10" s="27">
        <v>45.5</v>
      </c>
      <c r="J10" s="27">
        <v>45.5</v>
      </c>
      <c r="K10" s="30">
        <v>138.61</v>
      </c>
      <c r="L10" s="30">
        <v>162.75</v>
      </c>
      <c r="M10" s="30">
        <v>172.01</v>
      </c>
      <c r="N10" s="29">
        <v>282.57</v>
      </c>
      <c r="O10" s="29">
        <v>282.57</v>
      </c>
      <c r="P10" s="29">
        <v>323.3</v>
      </c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>
      <c r="A11" s="23" t="s">
        <v>16</v>
      </c>
      <c r="B11" s="38">
        <v>33.3</v>
      </c>
      <c r="C11" s="38">
        <v>33.3</v>
      </c>
      <c r="D11" s="38">
        <v>25.0</v>
      </c>
      <c r="E11" s="26">
        <v>83.813</v>
      </c>
      <c r="F11" s="26">
        <v>84.477</v>
      </c>
      <c r="G11" s="26">
        <v>83.414</v>
      </c>
      <c r="H11" s="27">
        <v>45.5</v>
      </c>
      <c r="I11" s="27">
        <v>45.5</v>
      </c>
      <c r="J11" s="27">
        <v>45.5</v>
      </c>
      <c r="K11" s="30">
        <v>138.45</v>
      </c>
      <c r="L11" s="30">
        <v>162.74</v>
      </c>
      <c r="M11" s="30">
        <v>170.48</v>
      </c>
      <c r="N11" s="29">
        <v>282.4</v>
      </c>
      <c r="O11" s="29">
        <v>282.4</v>
      </c>
      <c r="P11" s="29">
        <v>282.4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>
      <c r="A12" s="23" t="s">
        <v>17</v>
      </c>
      <c r="B12" s="38">
        <v>25.0</v>
      </c>
      <c r="C12" s="38">
        <v>33.3</v>
      </c>
      <c r="D12" s="38">
        <v>50.0</v>
      </c>
      <c r="E12" s="26">
        <v>82.637</v>
      </c>
      <c r="F12" s="26">
        <v>82.734</v>
      </c>
      <c r="G12" s="26">
        <v>85.758</v>
      </c>
      <c r="H12" s="27">
        <v>45.5</v>
      </c>
      <c r="I12" s="27">
        <v>45.5</v>
      </c>
      <c r="J12" s="27">
        <v>45.5</v>
      </c>
      <c r="K12" s="30">
        <v>134.26</v>
      </c>
      <c r="L12" s="30">
        <v>153.97</v>
      </c>
      <c r="M12" s="30">
        <v>171.01</v>
      </c>
      <c r="N12" s="29">
        <v>286.7</v>
      </c>
      <c r="O12" s="29">
        <v>286.7</v>
      </c>
      <c r="P12" s="29">
        <v>286.7</v>
      </c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</row>
    <row r="13">
      <c r="A13" s="31" t="s">
        <v>12</v>
      </c>
      <c r="B13" s="32">
        <f t="shared" ref="B13:P13" si="2">MEDIAN(B10:B12)</f>
        <v>25</v>
      </c>
      <c r="C13" s="32">
        <f t="shared" si="2"/>
        <v>33.3</v>
      </c>
      <c r="D13" s="32">
        <f t="shared" si="2"/>
        <v>25</v>
      </c>
      <c r="E13" s="32">
        <f t="shared" si="2"/>
        <v>83.813</v>
      </c>
      <c r="F13" s="32">
        <f t="shared" si="2"/>
        <v>83</v>
      </c>
      <c r="G13" s="32">
        <f t="shared" si="2"/>
        <v>83.652</v>
      </c>
      <c r="H13" s="32">
        <f t="shared" si="2"/>
        <v>45.5</v>
      </c>
      <c r="I13" s="32">
        <f t="shared" si="2"/>
        <v>45.5</v>
      </c>
      <c r="J13" s="32">
        <f t="shared" si="2"/>
        <v>45.5</v>
      </c>
      <c r="K13" s="32">
        <f t="shared" si="2"/>
        <v>138.45</v>
      </c>
      <c r="L13" s="32">
        <f t="shared" si="2"/>
        <v>162.74</v>
      </c>
      <c r="M13" s="32">
        <f t="shared" si="2"/>
        <v>171.01</v>
      </c>
      <c r="N13" s="32">
        <f t="shared" si="2"/>
        <v>282.57</v>
      </c>
      <c r="O13" s="32">
        <f t="shared" si="2"/>
        <v>282.57</v>
      </c>
      <c r="P13" s="32">
        <f t="shared" si="2"/>
        <v>286.7</v>
      </c>
    </row>
    <row r="14">
      <c r="A14" s="36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>
      <c r="A15" s="18" t="s">
        <v>18</v>
      </c>
      <c r="B15" s="20"/>
      <c r="C15" s="20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>
      <c r="A16" s="23" t="s">
        <v>19</v>
      </c>
      <c r="B16" s="38">
        <v>25.0</v>
      </c>
      <c r="C16" s="38">
        <v>33.3</v>
      </c>
      <c r="D16" s="38">
        <v>25.0</v>
      </c>
      <c r="E16" s="26">
        <v>83.102</v>
      </c>
      <c r="F16" s="26">
        <v>84.836</v>
      </c>
      <c r="G16" s="26">
        <v>81.871</v>
      </c>
      <c r="H16" s="27">
        <v>45.5</v>
      </c>
      <c r="I16" s="27">
        <v>45.5</v>
      </c>
      <c r="J16" s="27">
        <v>45.5</v>
      </c>
      <c r="K16" s="30">
        <v>221.29</v>
      </c>
      <c r="L16" s="30">
        <v>244.82</v>
      </c>
      <c r="M16" s="30">
        <v>249.94</v>
      </c>
      <c r="N16" s="29">
        <v>323.3</v>
      </c>
      <c r="O16" s="29">
        <v>232.3</v>
      </c>
      <c r="P16" s="29">
        <v>323.3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>
      <c r="A17" s="23" t="s">
        <v>20</v>
      </c>
      <c r="B17" s="38">
        <v>33.3</v>
      </c>
      <c r="C17" s="38">
        <v>25.0</v>
      </c>
      <c r="D17" s="38">
        <v>25.0</v>
      </c>
      <c r="E17" s="26">
        <v>86.469</v>
      </c>
      <c r="F17" s="26">
        <v>86.047</v>
      </c>
      <c r="G17" s="26">
        <v>85.168</v>
      </c>
      <c r="H17" s="27">
        <v>45.5</v>
      </c>
      <c r="I17" s="27">
        <v>45.5</v>
      </c>
      <c r="J17" s="27">
        <v>45.5</v>
      </c>
      <c r="K17" s="30">
        <v>214.39</v>
      </c>
      <c r="L17" s="30">
        <v>244.13</v>
      </c>
      <c r="M17" s="30">
        <v>256.65</v>
      </c>
      <c r="N17" s="29">
        <v>282.4</v>
      </c>
      <c r="O17" s="29">
        <v>282.4</v>
      </c>
      <c r="P17" s="29">
        <v>282.4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>
      <c r="A18" s="23" t="s">
        <v>21</v>
      </c>
      <c r="B18" s="38">
        <v>50.0</v>
      </c>
      <c r="C18" s="38">
        <v>25.0</v>
      </c>
      <c r="D18" s="38">
        <v>50.0</v>
      </c>
      <c r="E18" s="26">
        <v>83.941</v>
      </c>
      <c r="F18" s="26">
        <v>84.02</v>
      </c>
      <c r="G18" s="26">
        <v>80.988</v>
      </c>
      <c r="H18" s="27">
        <v>45.5</v>
      </c>
      <c r="I18" s="27">
        <v>45.5</v>
      </c>
      <c r="J18" s="27">
        <v>45.5</v>
      </c>
      <c r="K18" s="30">
        <v>214.06</v>
      </c>
      <c r="L18" s="30">
        <v>239.68</v>
      </c>
      <c r="M18" s="30">
        <v>248.98</v>
      </c>
      <c r="N18" s="29">
        <v>286.7</v>
      </c>
      <c r="O18" s="29">
        <v>286.7</v>
      </c>
      <c r="P18" s="29">
        <v>286.7</v>
      </c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>
      <c r="A19" s="31" t="s">
        <v>12</v>
      </c>
      <c r="B19" s="32">
        <f t="shared" ref="B19:P19" si="3">MEDIAN(B16:B18)</f>
        <v>33.3</v>
      </c>
      <c r="C19" s="32">
        <f t="shared" si="3"/>
        <v>25</v>
      </c>
      <c r="D19" s="32">
        <f t="shared" si="3"/>
        <v>25</v>
      </c>
      <c r="E19" s="32">
        <f t="shared" si="3"/>
        <v>83.941</v>
      </c>
      <c r="F19" s="32">
        <f t="shared" si="3"/>
        <v>84.836</v>
      </c>
      <c r="G19" s="32">
        <f t="shared" si="3"/>
        <v>81.871</v>
      </c>
      <c r="H19" s="32">
        <f t="shared" si="3"/>
        <v>45.5</v>
      </c>
      <c r="I19" s="32">
        <f t="shared" si="3"/>
        <v>45.5</v>
      </c>
      <c r="J19" s="32">
        <f t="shared" si="3"/>
        <v>45.5</v>
      </c>
      <c r="K19" s="32">
        <f t="shared" si="3"/>
        <v>214.39</v>
      </c>
      <c r="L19" s="32">
        <f t="shared" si="3"/>
        <v>244.13</v>
      </c>
      <c r="M19" s="32">
        <f t="shared" si="3"/>
        <v>249.94</v>
      </c>
      <c r="N19" s="32">
        <f t="shared" si="3"/>
        <v>286.7</v>
      </c>
      <c r="O19" s="32">
        <f t="shared" si="3"/>
        <v>282.4</v>
      </c>
      <c r="P19" s="32">
        <f t="shared" si="3"/>
        <v>286.7</v>
      </c>
    </row>
    <row r="20">
      <c r="A20" s="36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>
      <c r="A21" s="18" t="s">
        <v>22</v>
      </c>
      <c r="B21" s="20"/>
      <c r="C21" s="20"/>
      <c r="D21" s="21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>
      <c r="A22" s="23" t="s">
        <v>23</v>
      </c>
      <c r="B22" s="25">
        <v>33.3</v>
      </c>
      <c r="C22" s="25">
        <v>33.3</v>
      </c>
      <c r="D22" s="25">
        <v>50.0</v>
      </c>
      <c r="E22" s="26">
        <v>92.172</v>
      </c>
      <c r="F22" s="26">
        <v>88.996</v>
      </c>
      <c r="G22" s="26">
        <v>90.66</v>
      </c>
      <c r="H22" s="27">
        <v>46.5</v>
      </c>
      <c r="I22" s="27">
        <v>46.5</v>
      </c>
      <c r="J22" s="27">
        <v>46.5</v>
      </c>
      <c r="K22" s="30">
        <v>50.46</v>
      </c>
      <c r="L22" s="30">
        <v>76.14</v>
      </c>
      <c r="M22" s="30">
        <v>79.9</v>
      </c>
      <c r="N22" s="29">
        <v>290.62</v>
      </c>
      <c r="O22" s="29">
        <v>292.331</v>
      </c>
      <c r="P22" s="29">
        <v>292.341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>
      <c r="A23" s="23" t="s">
        <v>24</v>
      </c>
      <c r="B23" s="38">
        <v>25.0</v>
      </c>
      <c r="C23" s="38">
        <v>33.3</v>
      </c>
      <c r="D23" s="38">
        <v>40.0</v>
      </c>
      <c r="E23" s="26">
        <v>90.051</v>
      </c>
      <c r="F23" s="26">
        <v>90.676</v>
      </c>
      <c r="G23" s="26">
        <v>90.082</v>
      </c>
      <c r="H23" s="27">
        <v>46.5</v>
      </c>
      <c r="I23" s="27">
        <v>46.5</v>
      </c>
      <c r="J23" s="27">
        <v>46.5</v>
      </c>
      <c r="K23" s="30">
        <v>120.94</v>
      </c>
      <c r="L23" s="30">
        <v>151.05</v>
      </c>
      <c r="M23" s="30">
        <v>154.75</v>
      </c>
      <c r="N23" s="29">
        <v>292.38</v>
      </c>
      <c r="O23" s="29">
        <v>292.401</v>
      </c>
      <c r="P23" s="29">
        <v>292.411</v>
      </c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>
      <c r="A24" s="23" t="s">
        <v>25</v>
      </c>
      <c r="B24" s="38">
        <v>33.3</v>
      </c>
      <c r="C24" s="38">
        <v>25.0</v>
      </c>
      <c r="D24" s="38">
        <v>40.0</v>
      </c>
      <c r="E24" s="26">
        <v>91.848</v>
      </c>
      <c r="F24" s="26">
        <v>88.586</v>
      </c>
      <c r="G24" s="26">
        <v>89.551</v>
      </c>
      <c r="H24" s="27">
        <v>46.5</v>
      </c>
      <c r="I24" s="27">
        <v>46.5</v>
      </c>
      <c r="J24" s="27">
        <v>46.5</v>
      </c>
      <c r="K24" s="30">
        <v>202.66</v>
      </c>
      <c r="L24" s="30">
        <v>225.63</v>
      </c>
      <c r="M24" s="30">
        <v>234.58</v>
      </c>
      <c r="N24" s="29">
        <v>292.451</v>
      </c>
      <c r="O24" s="29">
        <v>292.471</v>
      </c>
      <c r="P24" s="29">
        <v>292.481</v>
      </c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</row>
    <row r="25">
      <c r="A25" s="31" t="s">
        <v>12</v>
      </c>
      <c r="B25" s="32">
        <f t="shared" ref="B25:P25" si="4">MEDIAN(B22:B24)</f>
        <v>33.3</v>
      </c>
      <c r="C25" s="32">
        <f t="shared" si="4"/>
        <v>33.3</v>
      </c>
      <c r="D25" s="32">
        <f t="shared" si="4"/>
        <v>40</v>
      </c>
      <c r="E25" s="32">
        <f t="shared" si="4"/>
        <v>91.848</v>
      </c>
      <c r="F25" s="32">
        <f t="shared" si="4"/>
        <v>88.996</v>
      </c>
      <c r="G25" s="32">
        <f t="shared" si="4"/>
        <v>90.082</v>
      </c>
      <c r="H25" s="32">
        <f t="shared" si="4"/>
        <v>46.5</v>
      </c>
      <c r="I25" s="32">
        <f t="shared" si="4"/>
        <v>46.5</v>
      </c>
      <c r="J25" s="32">
        <f t="shared" si="4"/>
        <v>46.5</v>
      </c>
      <c r="K25" s="32">
        <f t="shared" si="4"/>
        <v>120.94</v>
      </c>
      <c r="L25" s="32">
        <f t="shared" si="4"/>
        <v>151.05</v>
      </c>
      <c r="M25" s="32">
        <f t="shared" si="4"/>
        <v>154.75</v>
      </c>
      <c r="N25" s="32">
        <f t="shared" si="4"/>
        <v>292.38</v>
      </c>
      <c r="O25" s="32">
        <f t="shared" si="4"/>
        <v>292.401</v>
      </c>
      <c r="P25" s="32">
        <f t="shared" si="4"/>
        <v>292.411</v>
      </c>
      <c r="Y25" s="36"/>
      <c r="Z25" s="36"/>
      <c r="AA25" s="36"/>
      <c r="AB25" s="36"/>
      <c r="AC25" s="36"/>
      <c r="AD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Q26" s="36"/>
      <c r="R26" s="36"/>
      <c r="S26" s="36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>
      <c r="A27" s="36"/>
      <c r="B27" s="36"/>
      <c r="C27" s="39"/>
      <c r="D27" s="36"/>
      <c r="E27" s="36"/>
      <c r="F27" s="36"/>
      <c r="G27" s="17"/>
      <c r="H27" s="36"/>
      <c r="I27" s="36"/>
      <c r="J27" s="36"/>
      <c r="K27" s="17"/>
      <c r="L27" s="36"/>
      <c r="M27" s="36"/>
      <c r="Q27" s="36"/>
      <c r="R27" s="36"/>
      <c r="S27" s="36"/>
      <c r="AA27" s="92"/>
      <c r="AB27" s="92"/>
      <c r="AC27" s="92"/>
      <c r="AD27" s="92"/>
      <c r="AE27" s="92"/>
      <c r="AF27" s="91"/>
      <c r="AG27" s="91"/>
      <c r="AH27" s="91"/>
      <c r="AI27" s="91"/>
      <c r="AJ27" s="91"/>
      <c r="AK27" s="91"/>
    </row>
    <row r="28">
      <c r="A28" s="1" t="s">
        <v>149</v>
      </c>
      <c r="B28" s="5" t="s">
        <v>130</v>
      </c>
      <c r="C28" s="3"/>
      <c r="D28" s="3"/>
      <c r="E28" s="3"/>
      <c r="F28" s="3"/>
      <c r="G28" s="4"/>
      <c r="H28" s="6" t="s">
        <v>131</v>
      </c>
      <c r="I28" s="3"/>
      <c r="J28" s="3"/>
      <c r="K28" s="3"/>
      <c r="L28" s="3"/>
      <c r="M28" s="4"/>
      <c r="N28" s="7" t="s">
        <v>132</v>
      </c>
      <c r="O28" s="3"/>
      <c r="P28" s="3"/>
      <c r="Q28" s="3"/>
      <c r="R28" s="3"/>
      <c r="S28" s="4"/>
      <c r="T28" s="8" t="s">
        <v>133</v>
      </c>
      <c r="U28" s="3"/>
      <c r="V28" s="3"/>
      <c r="W28" s="3"/>
      <c r="X28" s="3"/>
      <c r="Y28" s="4"/>
      <c r="Z28" s="9" t="s">
        <v>134</v>
      </c>
      <c r="AA28" s="3"/>
      <c r="AB28" s="3"/>
      <c r="AC28" s="3"/>
      <c r="AD28" s="3"/>
      <c r="AE28" s="4"/>
    </row>
    <row r="29">
      <c r="A29" s="10" t="s">
        <v>7</v>
      </c>
      <c r="B29" s="79">
        <v>4096.0</v>
      </c>
      <c r="C29" s="4"/>
      <c r="D29" s="79">
        <v>8192.0</v>
      </c>
      <c r="E29" s="4"/>
      <c r="F29" s="79">
        <v>16384.0</v>
      </c>
      <c r="G29" s="4"/>
      <c r="H29" s="80">
        <v>4096.0</v>
      </c>
      <c r="I29" s="4"/>
      <c r="J29" s="80">
        <v>8192.0</v>
      </c>
      <c r="K29" s="4"/>
      <c r="L29" s="80">
        <v>16384.0</v>
      </c>
      <c r="M29" s="4"/>
      <c r="N29" s="81">
        <v>4096.0</v>
      </c>
      <c r="O29" s="4"/>
      <c r="P29" s="81">
        <v>8192.0</v>
      </c>
      <c r="Q29" s="4"/>
      <c r="R29" s="81">
        <v>16384.0</v>
      </c>
      <c r="S29" s="4"/>
      <c r="T29" s="82">
        <v>4096.0</v>
      </c>
      <c r="U29" s="4"/>
      <c r="V29" s="82">
        <v>8192.0</v>
      </c>
      <c r="W29" s="4"/>
      <c r="X29" s="82">
        <v>16384.0</v>
      </c>
      <c r="Y29" s="4"/>
      <c r="Z29" s="83">
        <v>4096.0</v>
      </c>
      <c r="AA29" s="4"/>
      <c r="AB29" s="83">
        <v>8192.0</v>
      </c>
      <c r="AC29" s="4"/>
      <c r="AD29" s="83">
        <v>16384.0</v>
      </c>
      <c r="AE29" s="4"/>
      <c r="AL29" s="17"/>
      <c r="AM29" s="17"/>
      <c r="AN29" s="17"/>
      <c r="AO29" s="17"/>
      <c r="AP29" s="17"/>
      <c r="AQ29" s="17"/>
      <c r="AR29" s="17"/>
    </row>
    <row r="30">
      <c r="A30" s="10"/>
      <c r="B30" s="12" t="s">
        <v>135</v>
      </c>
      <c r="C30" s="12" t="s">
        <v>136</v>
      </c>
      <c r="D30" s="12" t="s">
        <v>135</v>
      </c>
      <c r="E30" s="12" t="s">
        <v>136</v>
      </c>
      <c r="F30" s="12" t="s">
        <v>135</v>
      </c>
      <c r="G30" s="12" t="s">
        <v>136</v>
      </c>
      <c r="H30" s="13" t="s">
        <v>135</v>
      </c>
      <c r="I30" s="13" t="s">
        <v>136</v>
      </c>
      <c r="J30" s="13" t="s">
        <v>135</v>
      </c>
      <c r="K30" s="13" t="s">
        <v>136</v>
      </c>
      <c r="L30" s="13" t="s">
        <v>135</v>
      </c>
      <c r="M30" s="13" t="s">
        <v>136</v>
      </c>
      <c r="N30" s="14" t="s">
        <v>135</v>
      </c>
      <c r="O30" s="14" t="s">
        <v>136</v>
      </c>
      <c r="P30" s="14" t="s">
        <v>135</v>
      </c>
      <c r="Q30" s="14" t="s">
        <v>136</v>
      </c>
      <c r="R30" s="14" t="s">
        <v>135</v>
      </c>
      <c r="S30" s="14" t="s">
        <v>136</v>
      </c>
      <c r="T30" s="15" t="s">
        <v>135</v>
      </c>
      <c r="U30" s="15" t="s">
        <v>136</v>
      </c>
      <c r="V30" s="15" t="s">
        <v>135</v>
      </c>
      <c r="W30" s="15" t="s">
        <v>136</v>
      </c>
      <c r="X30" s="15" t="s">
        <v>135</v>
      </c>
      <c r="Y30" s="15" t="s">
        <v>136</v>
      </c>
      <c r="Z30" s="16" t="s">
        <v>135</v>
      </c>
      <c r="AA30" s="16" t="s">
        <v>136</v>
      </c>
      <c r="AB30" s="16" t="s">
        <v>135</v>
      </c>
      <c r="AC30" s="16" t="s">
        <v>136</v>
      </c>
      <c r="AD30" s="16" t="s">
        <v>135</v>
      </c>
      <c r="AE30" s="16" t="s">
        <v>136</v>
      </c>
      <c r="AL30" s="17"/>
      <c r="AM30" s="17"/>
      <c r="AN30" s="17"/>
      <c r="AO30" s="17"/>
      <c r="AP30" s="17"/>
      <c r="AQ30" s="17"/>
      <c r="AR30" s="17"/>
    </row>
    <row r="31">
      <c r="A31" s="18" t="s">
        <v>8</v>
      </c>
      <c r="B31" s="20"/>
      <c r="C31" s="20"/>
      <c r="D31" s="20"/>
      <c r="E31" s="20"/>
      <c r="F31" s="21"/>
      <c r="G31" s="2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>
      <c r="A32" s="23" t="s">
        <v>9</v>
      </c>
      <c r="B32" s="25">
        <v>25.0</v>
      </c>
      <c r="C32" s="25">
        <v>50.0</v>
      </c>
      <c r="D32" s="25">
        <v>25.0</v>
      </c>
      <c r="E32" s="25">
        <v>25.0</v>
      </c>
      <c r="F32" s="25">
        <v>25.0</v>
      </c>
      <c r="G32" s="25">
        <v>25.0</v>
      </c>
      <c r="H32" s="26">
        <v>86.344</v>
      </c>
      <c r="I32" s="26">
        <v>82.406</v>
      </c>
      <c r="J32" s="26">
        <v>80.805</v>
      </c>
      <c r="K32" s="26">
        <v>83.309</v>
      </c>
      <c r="L32" s="26">
        <v>85.02</v>
      </c>
      <c r="M32" s="26">
        <v>82.531</v>
      </c>
      <c r="N32" s="27">
        <v>46.0</v>
      </c>
      <c r="O32" s="27">
        <v>45.5</v>
      </c>
      <c r="P32" s="27">
        <v>45.5</v>
      </c>
      <c r="Q32" s="27">
        <v>45.5</v>
      </c>
      <c r="R32" s="27">
        <v>45.5</v>
      </c>
      <c r="S32" s="27">
        <v>45.5</v>
      </c>
      <c r="T32" s="41">
        <v>49.97</v>
      </c>
      <c r="U32" s="41">
        <v>55.49</v>
      </c>
      <c r="V32" s="41">
        <v>65.46</v>
      </c>
      <c r="W32" s="41">
        <v>79.7</v>
      </c>
      <c r="X32" s="41">
        <v>84.58</v>
      </c>
      <c r="Y32" s="41">
        <v>85.46</v>
      </c>
      <c r="Z32" s="29">
        <v>278.755</v>
      </c>
      <c r="AA32" s="29">
        <v>282.556</v>
      </c>
      <c r="AB32" s="29">
        <v>282.556</v>
      </c>
      <c r="AC32" s="29">
        <v>282.556</v>
      </c>
      <c r="AD32" s="29">
        <v>282.556</v>
      </c>
      <c r="AE32" s="29">
        <v>282.556</v>
      </c>
    </row>
    <row r="33">
      <c r="A33" s="23" t="s">
        <v>10</v>
      </c>
      <c r="B33" s="25">
        <v>50.0</v>
      </c>
      <c r="C33" s="25">
        <v>25.0</v>
      </c>
      <c r="D33" s="25">
        <v>50.0</v>
      </c>
      <c r="E33" s="25">
        <v>45.0</v>
      </c>
      <c r="F33" s="25">
        <v>50.0</v>
      </c>
      <c r="G33" s="25">
        <v>25.0</v>
      </c>
      <c r="H33" s="26">
        <v>84.172</v>
      </c>
      <c r="I33" s="26">
        <v>82.664</v>
      </c>
      <c r="J33" s="26">
        <v>84.301</v>
      </c>
      <c r="K33" s="26">
        <v>85.191</v>
      </c>
      <c r="L33" s="26">
        <v>81.734</v>
      </c>
      <c r="M33" s="26">
        <v>84.824</v>
      </c>
      <c r="N33" s="27">
        <v>45.5</v>
      </c>
      <c r="O33" s="27">
        <v>45.5</v>
      </c>
      <c r="P33" s="27">
        <v>46.0</v>
      </c>
      <c r="Q33" s="27">
        <v>45.5</v>
      </c>
      <c r="R33" s="27">
        <v>45.5</v>
      </c>
      <c r="S33" s="27">
        <v>45.5</v>
      </c>
      <c r="T33" s="30">
        <v>51.97</v>
      </c>
      <c r="U33" s="30">
        <v>56.49</v>
      </c>
      <c r="V33" s="30">
        <v>65.73</v>
      </c>
      <c r="W33" s="30">
        <v>80.09</v>
      </c>
      <c r="X33" s="30">
        <v>84.72</v>
      </c>
      <c r="Y33" s="30">
        <v>84.74</v>
      </c>
      <c r="Z33" s="29">
        <v>278.63</v>
      </c>
      <c r="AA33" s="29">
        <v>282.431</v>
      </c>
      <c r="AB33" s="29">
        <v>282.442</v>
      </c>
      <c r="AC33" s="29">
        <v>282.442</v>
      </c>
      <c r="AD33" s="29">
        <v>282.442</v>
      </c>
      <c r="AE33" s="29">
        <v>282.442</v>
      </c>
    </row>
    <row r="34">
      <c r="A34" s="23" t="s">
        <v>11</v>
      </c>
      <c r="B34" s="25">
        <v>32.3</v>
      </c>
      <c r="C34" s="25">
        <v>28.2</v>
      </c>
      <c r="D34" s="25">
        <v>35.4</v>
      </c>
      <c r="E34" s="25">
        <v>48.9</v>
      </c>
      <c r="F34" s="25">
        <v>51.2</v>
      </c>
      <c r="G34" s="25">
        <v>39.1</v>
      </c>
      <c r="H34" s="26">
        <v>82.012</v>
      </c>
      <c r="I34" s="26">
        <v>82.457</v>
      </c>
      <c r="J34" s="26">
        <v>84.301</v>
      </c>
      <c r="K34" s="26">
        <v>82.207</v>
      </c>
      <c r="L34" s="26">
        <v>81.598</v>
      </c>
      <c r="M34" s="26">
        <v>86.633</v>
      </c>
      <c r="N34" s="27">
        <v>45.5</v>
      </c>
      <c r="O34" s="27">
        <v>45.5</v>
      </c>
      <c r="P34" s="27">
        <v>45.5</v>
      </c>
      <c r="Q34" s="27">
        <v>45.5</v>
      </c>
      <c r="R34" s="27">
        <v>45.5</v>
      </c>
      <c r="S34" s="27">
        <v>45.5</v>
      </c>
      <c r="T34" s="30">
        <v>41.85</v>
      </c>
      <c r="U34" s="30">
        <v>52.75</v>
      </c>
      <c r="V34" s="30">
        <v>66.46</v>
      </c>
      <c r="W34" s="30">
        <v>76.69</v>
      </c>
      <c r="X34" s="30">
        <v>81.62</v>
      </c>
      <c r="Y34" s="30">
        <v>81.77</v>
      </c>
      <c r="Z34" s="29">
        <v>282.841</v>
      </c>
      <c r="AA34" s="29">
        <v>286.642</v>
      </c>
      <c r="AB34" s="29">
        <v>286.653</v>
      </c>
      <c r="AC34" s="29">
        <v>286.653</v>
      </c>
      <c r="AD34" s="29">
        <v>286.653</v>
      </c>
      <c r="AE34" s="29">
        <v>286.653</v>
      </c>
    </row>
    <row r="35">
      <c r="A35" s="31" t="s">
        <v>12</v>
      </c>
      <c r="B35" s="109">
        <f>MEDIAN(B32:B34,C32:C34)</f>
        <v>30.25</v>
      </c>
      <c r="C35" s="4"/>
      <c r="D35" s="109">
        <f>MEDIAN(D32:D34,E32:E34)</f>
        <v>40.2</v>
      </c>
      <c r="E35" s="4"/>
      <c r="F35" s="109">
        <f>MEDIAN(F32:F34,G32:G34)</f>
        <v>32.05</v>
      </c>
      <c r="G35" s="4"/>
      <c r="H35" s="109">
        <f>MEDIAN(H32:H34,I32:I34)</f>
        <v>82.5605</v>
      </c>
      <c r="I35" s="4"/>
      <c r="J35" s="109">
        <f>MEDIAN(J32:J34,K32:K34)</f>
        <v>83.805</v>
      </c>
      <c r="K35" s="4"/>
      <c r="L35" s="109">
        <f>MEDIAN(L32:L34,M32:M34)</f>
        <v>83.6775</v>
      </c>
      <c r="M35" s="4"/>
      <c r="N35" s="109">
        <f>MEDIAN(N32:N34,O32:O34)</f>
        <v>45.5</v>
      </c>
      <c r="O35" s="4"/>
      <c r="P35" s="109">
        <f>MEDIAN(P32:P34,Q32:Q34)</f>
        <v>45.5</v>
      </c>
      <c r="Q35" s="4"/>
      <c r="R35" s="109">
        <f>MEDIAN(R32:R34,S32:S34)</f>
        <v>45.5</v>
      </c>
      <c r="S35" s="4"/>
      <c r="T35" s="109">
        <f>MEDIAN(T32:T34,U32:U34)</f>
        <v>52.36</v>
      </c>
      <c r="U35" s="4"/>
      <c r="V35" s="109">
        <f>MEDIAN(V32:V34,W32:W34)</f>
        <v>71.575</v>
      </c>
      <c r="W35" s="4"/>
      <c r="X35" s="109">
        <f>MEDIAN(X32:X34,Y32:Y34)</f>
        <v>84.65</v>
      </c>
      <c r="Y35" s="4"/>
      <c r="Z35" s="109">
        <f>MEDIAN(Z32:Z34,AA32:AA34)</f>
        <v>282.4935</v>
      </c>
      <c r="AA35" s="4"/>
      <c r="AB35" s="109">
        <f>MEDIAN(AB32:AB34,AC32:AC34)</f>
        <v>282.556</v>
      </c>
      <c r="AC35" s="4"/>
      <c r="AD35" s="109">
        <f>MEDIAN(AD32:AD34,AE32:AE34)</f>
        <v>282.556</v>
      </c>
      <c r="AE35" s="4"/>
    </row>
    <row r="36">
      <c r="A36" s="36"/>
    </row>
    <row r="37">
      <c r="A37" s="18" t="s">
        <v>14</v>
      </c>
      <c r="B37" s="20"/>
      <c r="C37" s="20"/>
      <c r="D37" s="20"/>
      <c r="E37" s="20"/>
      <c r="F37" s="21"/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23" t="s">
        <v>15</v>
      </c>
      <c r="B38" s="38">
        <v>25.0</v>
      </c>
      <c r="C38" s="38">
        <v>25.0</v>
      </c>
      <c r="D38" s="38">
        <v>25.0</v>
      </c>
      <c r="E38" s="38">
        <v>25.0</v>
      </c>
      <c r="F38" s="38">
        <v>25.0</v>
      </c>
      <c r="G38" s="38">
        <v>25.0</v>
      </c>
      <c r="H38" s="26">
        <v>80.311</v>
      </c>
      <c r="I38" s="26">
        <v>84.988</v>
      </c>
      <c r="J38" s="26">
        <v>81.133</v>
      </c>
      <c r="K38" s="26">
        <v>84.602</v>
      </c>
      <c r="L38" s="26">
        <v>83.176</v>
      </c>
      <c r="M38" s="26">
        <v>81.785</v>
      </c>
      <c r="N38" s="27">
        <v>45.5</v>
      </c>
      <c r="O38" s="27">
        <v>45.5</v>
      </c>
      <c r="P38" s="27">
        <v>45.5</v>
      </c>
      <c r="Q38" s="27">
        <v>45.5</v>
      </c>
      <c r="R38" s="27">
        <v>45.5</v>
      </c>
      <c r="S38" s="27">
        <v>45.5</v>
      </c>
      <c r="T38" s="30">
        <v>127.2</v>
      </c>
      <c r="U38" s="30">
        <v>138.98</v>
      </c>
      <c r="V38" s="30">
        <v>152.45</v>
      </c>
      <c r="W38" s="30">
        <v>162.77</v>
      </c>
      <c r="X38" s="30">
        <v>167.93</v>
      </c>
      <c r="Y38" s="30">
        <v>175.22</v>
      </c>
      <c r="Z38" s="29">
        <v>282.57</v>
      </c>
      <c r="AA38" s="29">
        <v>282.57</v>
      </c>
      <c r="AB38" s="29">
        <v>282.57</v>
      </c>
      <c r="AC38" s="29">
        <v>282.57</v>
      </c>
      <c r="AD38" s="29">
        <v>323.3</v>
      </c>
      <c r="AE38" s="29">
        <v>323.3</v>
      </c>
    </row>
    <row r="39">
      <c r="A39" s="23" t="s">
        <v>16</v>
      </c>
      <c r="B39" s="38">
        <v>20.0</v>
      </c>
      <c r="C39" s="38">
        <v>25.0</v>
      </c>
      <c r="D39" s="38">
        <v>25.0</v>
      </c>
      <c r="E39" s="38">
        <v>25.0</v>
      </c>
      <c r="F39" s="38">
        <v>25.0</v>
      </c>
      <c r="G39" s="38">
        <v>25.0</v>
      </c>
      <c r="H39" s="26">
        <v>80.977</v>
      </c>
      <c r="I39" s="26">
        <v>84.961</v>
      </c>
      <c r="J39" s="26">
        <v>82.164</v>
      </c>
      <c r="K39" s="26">
        <v>85.328</v>
      </c>
      <c r="L39" s="26">
        <v>82.016</v>
      </c>
      <c r="M39" s="26">
        <v>84.816</v>
      </c>
      <c r="N39" s="27">
        <v>45.5</v>
      </c>
      <c r="O39" s="27">
        <v>45.5</v>
      </c>
      <c r="P39" s="27">
        <v>45.5</v>
      </c>
      <c r="Q39" s="27">
        <v>45.5</v>
      </c>
      <c r="R39" s="27">
        <v>45.5</v>
      </c>
      <c r="S39" s="27">
        <v>45.5</v>
      </c>
      <c r="T39" s="30">
        <v>127.97</v>
      </c>
      <c r="U39" s="30">
        <v>138.73</v>
      </c>
      <c r="V39" s="30">
        <v>151.12</v>
      </c>
      <c r="W39" s="30">
        <v>162.76</v>
      </c>
      <c r="X39" s="30">
        <v>170.45</v>
      </c>
      <c r="Y39" s="30">
        <v>170.5</v>
      </c>
      <c r="Z39" s="29">
        <v>282.4</v>
      </c>
      <c r="AA39" s="29">
        <v>282.4</v>
      </c>
      <c r="AB39" s="29">
        <v>282.4</v>
      </c>
      <c r="AC39" s="29">
        <v>282.4</v>
      </c>
      <c r="AD39" s="29">
        <v>282.4</v>
      </c>
      <c r="AE39" s="29">
        <v>282.4</v>
      </c>
    </row>
    <row r="40">
      <c r="A40" s="23" t="s">
        <v>17</v>
      </c>
      <c r="B40" s="38">
        <v>25.0</v>
      </c>
      <c r="C40" s="38">
        <v>25.0</v>
      </c>
      <c r="D40" s="38">
        <v>33.0</v>
      </c>
      <c r="E40" s="38">
        <v>25.0</v>
      </c>
      <c r="F40" s="38">
        <v>20.0</v>
      </c>
      <c r="G40" s="38">
        <v>50.0</v>
      </c>
      <c r="H40" s="26">
        <v>84.496</v>
      </c>
      <c r="I40" s="26">
        <v>85.199</v>
      </c>
      <c r="J40" s="26">
        <v>84.719</v>
      </c>
      <c r="K40" s="26">
        <v>85.34</v>
      </c>
      <c r="L40" s="26">
        <v>84.574</v>
      </c>
      <c r="M40" s="26">
        <v>85.133</v>
      </c>
      <c r="N40" s="27">
        <v>45.5</v>
      </c>
      <c r="O40" s="27">
        <v>45.5</v>
      </c>
      <c r="P40" s="27">
        <v>45.5</v>
      </c>
      <c r="Q40" s="27">
        <v>45.5</v>
      </c>
      <c r="R40" s="27">
        <v>45.5</v>
      </c>
      <c r="S40" s="27">
        <v>45.5</v>
      </c>
      <c r="T40" s="30">
        <v>128.23</v>
      </c>
      <c r="U40" s="30">
        <v>134.53</v>
      </c>
      <c r="V40" s="30">
        <v>153.94</v>
      </c>
      <c r="W40" s="30">
        <v>153.99</v>
      </c>
      <c r="X40" s="30">
        <v>167.79</v>
      </c>
      <c r="Y40" s="30">
        <v>171.02</v>
      </c>
      <c r="Z40" s="29">
        <v>286.7</v>
      </c>
      <c r="AA40" s="29">
        <v>286.7</v>
      </c>
      <c r="AB40" s="29">
        <v>286.7</v>
      </c>
      <c r="AC40" s="29">
        <v>286.7</v>
      </c>
      <c r="AD40" s="29">
        <v>286.7</v>
      </c>
      <c r="AE40" s="29">
        <v>286.7</v>
      </c>
    </row>
    <row r="41">
      <c r="A41" s="31" t="s">
        <v>12</v>
      </c>
      <c r="B41" s="109">
        <f>MEDIAN(B38:B40,C38:C40)</f>
        <v>25</v>
      </c>
      <c r="C41" s="4"/>
      <c r="D41" s="109">
        <f>MEDIAN(D38:D40,E38:E40)</f>
        <v>25</v>
      </c>
      <c r="E41" s="4"/>
      <c r="F41" s="109">
        <f>MEDIAN(F38:F40,G38:G40)</f>
        <v>25</v>
      </c>
      <c r="G41" s="4"/>
      <c r="H41" s="109">
        <f>MEDIAN(H38:H40,I38:I40)</f>
        <v>84.7285</v>
      </c>
      <c r="I41" s="4"/>
      <c r="J41" s="109">
        <f>MEDIAN(J38:J40,K38:K40)</f>
        <v>84.6605</v>
      </c>
      <c r="K41" s="4"/>
      <c r="L41" s="109">
        <f>MEDIAN(L38:L40,M38:M40)</f>
        <v>83.875</v>
      </c>
      <c r="M41" s="4"/>
      <c r="N41" s="109">
        <f>MEDIAN(N38:N40,O38:O40)</f>
        <v>45.5</v>
      </c>
      <c r="O41" s="4"/>
      <c r="P41" s="109">
        <f>MEDIAN(P38:P40,Q38:Q40)</f>
        <v>45.5</v>
      </c>
      <c r="Q41" s="4"/>
      <c r="R41" s="109">
        <f>MEDIAN(R38:R40,S38:S40)</f>
        <v>45.5</v>
      </c>
      <c r="S41" s="4"/>
      <c r="T41" s="109">
        <f>MEDIAN(T38:T40,U38:U40)</f>
        <v>131.38</v>
      </c>
      <c r="U41" s="4"/>
      <c r="V41" s="109">
        <f>MEDIAN(V38:V40,W38:W40)</f>
        <v>153.965</v>
      </c>
      <c r="W41" s="4"/>
      <c r="X41" s="109">
        <f>MEDIAN(X38:X40,Y38:Y40)</f>
        <v>170.475</v>
      </c>
      <c r="Y41" s="4"/>
      <c r="Z41" s="109">
        <f>MEDIAN(Z38:Z40,AA38:AA40)</f>
        <v>282.57</v>
      </c>
      <c r="AA41" s="4"/>
      <c r="AB41" s="109">
        <f>MEDIAN(AB38:AB40,AC38:AC40)</f>
        <v>282.57</v>
      </c>
      <c r="AC41" s="4"/>
      <c r="AD41" s="109">
        <f>MEDIAN(AD38:AD40,AE38:AE40)</f>
        <v>286.7</v>
      </c>
      <c r="AE41" s="4"/>
    </row>
    <row r="42">
      <c r="A42" s="36"/>
    </row>
    <row r="43">
      <c r="A43" s="18" t="s">
        <v>18</v>
      </c>
      <c r="B43" s="20"/>
      <c r="C43" s="20"/>
      <c r="D43" s="20"/>
      <c r="E43" s="20"/>
      <c r="F43" s="21"/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>
      <c r="A44" s="23" t="s">
        <v>19</v>
      </c>
      <c r="B44" s="38">
        <v>33.3</v>
      </c>
      <c r="C44" s="38">
        <v>50.0</v>
      </c>
      <c r="D44" s="38">
        <v>25.0</v>
      </c>
      <c r="E44" s="38">
        <v>25.0</v>
      </c>
      <c r="F44" s="38">
        <v>25.0</v>
      </c>
      <c r="G44" s="38">
        <v>50.0</v>
      </c>
      <c r="H44" s="26">
        <v>79.559</v>
      </c>
      <c r="I44" s="26">
        <v>86.043</v>
      </c>
      <c r="J44" s="26">
        <v>83.238</v>
      </c>
      <c r="K44" s="26">
        <v>82.488</v>
      </c>
      <c r="L44" s="26">
        <v>81.656</v>
      </c>
      <c r="M44" s="26">
        <v>81.84</v>
      </c>
      <c r="N44" s="27">
        <v>45.5</v>
      </c>
      <c r="O44" s="27">
        <v>45.5</v>
      </c>
      <c r="P44" s="27">
        <v>45.5</v>
      </c>
      <c r="Q44" s="27">
        <v>45.5</v>
      </c>
      <c r="R44" s="27">
        <v>45.5</v>
      </c>
      <c r="S44" s="27">
        <v>45.5</v>
      </c>
      <c r="T44" s="30">
        <v>210.48</v>
      </c>
      <c r="U44" s="30">
        <v>221.34</v>
      </c>
      <c r="V44" s="30">
        <v>234.57</v>
      </c>
      <c r="W44" s="30">
        <v>245.02</v>
      </c>
      <c r="X44" s="30">
        <v>249.93</v>
      </c>
      <c r="Y44" s="30">
        <v>249.95</v>
      </c>
      <c r="Z44" s="29">
        <v>323.3</v>
      </c>
      <c r="AA44" s="29">
        <v>323.3</v>
      </c>
      <c r="AB44" s="29">
        <v>323.3</v>
      </c>
      <c r="AC44" s="29">
        <v>323.3</v>
      </c>
      <c r="AD44" s="29">
        <v>323.3</v>
      </c>
      <c r="AE44" s="29">
        <v>323.3</v>
      </c>
    </row>
    <row r="45">
      <c r="A45" s="23" t="s">
        <v>20</v>
      </c>
      <c r="B45" s="38">
        <v>25.0</v>
      </c>
      <c r="C45" s="38">
        <v>25.0</v>
      </c>
      <c r="D45" s="38">
        <v>25.0</v>
      </c>
      <c r="E45" s="38">
        <v>50.0</v>
      </c>
      <c r="F45" s="38">
        <v>50.0</v>
      </c>
      <c r="G45" s="38">
        <v>40.0</v>
      </c>
      <c r="H45" s="26">
        <v>85.48</v>
      </c>
      <c r="I45" s="26">
        <v>86.855</v>
      </c>
      <c r="J45" s="26">
        <v>85.031</v>
      </c>
      <c r="K45" s="26">
        <v>86.73</v>
      </c>
      <c r="L45" s="26">
        <v>83.094</v>
      </c>
      <c r="M45" s="26">
        <v>85.398</v>
      </c>
      <c r="N45" s="27">
        <v>45.5</v>
      </c>
      <c r="O45" s="27">
        <v>45.5</v>
      </c>
      <c r="P45" s="27">
        <v>45.5</v>
      </c>
      <c r="Q45" s="27">
        <v>45.5</v>
      </c>
      <c r="R45" s="27">
        <v>45.5</v>
      </c>
      <c r="S45" s="27">
        <v>45.5</v>
      </c>
      <c r="T45" s="30">
        <v>214.32</v>
      </c>
      <c r="U45" s="30">
        <v>220.64</v>
      </c>
      <c r="V45" s="30">
        <v>234.84</v>
      </c>
      <c r="W45" s="30">
        <v>244.15</v>
      </c>
      <c r="X45" s="30">
        <v>249.37</v>
      </c>
      <c r="Y45" s="30">
        <v>256.66</v>
      </c>
      <c r="Z45" s="29">
        <v>282.4</v>
      </c>
      <c r="AA45" s="29">
        <v>282.4</v>
      </c>
      <c r="AB45" s="29">
        <v>282.4</v>
      </c>
      <c r="AC45" s="29">
        <v>282.4</v>
      </c>
      <c r="AD45" s="29">
        <v>282.4</v>
      </c>
      <c r="AE45" s="29">
        <v>282.4</v>
      </c>
    </row>
    <row r="46">
      <c r="A46" s="23" t="s">
        <v>21</v>
      </c>
      <c r="B46" s="38">
        <v>45.0</v>
      </c>
      <c r="C46" s="38">
        <v>50.0</v>
      </c>
      <c r="D46" s="38">
        <v>25.0</v>
      </c>
      <c r="E46" s="38">
        <v>25.0</v>
      </c>
      <c r="F46" s="38">
        <v>25.0</v>
      </c>
      <c r="G46" s="38">
        <v>25.0</v>
      </c>
      <c r="H46" s="26">
        <v>79.664</v>
      </c>
      <c r="I46" s="26">
        <v>83.824</v>
      </c>
      <c r="J46" s="26">
        <v>85.219</v>
      </c>
      <c r="K46" s="26">
        <v>84.469</v>
      </c>
      <c r="L46" s="26">
        <v>79.16</v>
      </c>
      <c r="M46" s="26">
        <v>83.621</v>
      </c>
      <c r="N46" s="27">
        <v>45.5</v>
      </c>
      <c r="O46" s="27">
        <v>45.5</v>
      </c>
      <c r="P46" s="27">
        <v>45.5</v>
      </c>
      <c r="Q46" s="27">
        <v>45.5</v>
      </c>
      <c r="R46" s="27">
        <v>45.5</v>
      </c>
      <c r="S46" s="27">
        <v>45.5</v>
      </c>
      <c r="T46" s="30">
        <v>207.37</v>
      </c>
      <c r="U46" s="30">
        <v>216.25</v>
      </c>
      <c r="V46" s="30">
        <v>233.41</v>
      </c>
      <c r="W46" s="30">
        <v>239.7</v>
      </c>
      <c r="X46" s="30">
        <v>248.95</v>
      </c>
      <c r="Y46" s="30">
        <v>249.0</v>
      </c>
      <c r="Z46" s="29">
        <v>286.7</v>
      </c>
      <c r="AA46" s="29">
        <v>286.7</v>
      </c>
      <c r="AB46" s="29">
        <v>286.7</v>
      </c>
      <c r="AC46" s="29">
        <v>286.7</v>
      </c>
      <c r="AD46" s="29">
        <v>286.7</v>
      </c>
      <c r="AE46" s="29">
        <v>286.7</v>
      </c>
    </row>
    <row r="47">
      <c r="A47" s="31" t="s">
        <v>12</v>
      </c>
      <c r="B47" s="109">
        <f>MEDIAN(B44:B46,C44:C46)</f>
        <v>39.15</v>
      </c>
      <c r="C47" s="4"/>
      <c r="D47" s="109">
        <f>MEDIAN(D44:D46,E44:E46)</f>
        <v>25</v>
      </c>
      <c r="E47" s="4"/>
      <c r="F47" s="109">
        <f>MEDIAN(F44:F46,G44:G46)</f>
        <v>32.5</v>
      </c>
      <c r="G47" s="4"/>
      <c r="H47" s="109">
        <f>MEDIAN(H44:H46,I44:I46)</f>
        <v>84.652</v>
      </c>
      <c r="I47" s="4"/>
      <c r="J47" s="109">
        <f>MEDIAN(J44:J46,K44:K46)</f>
        <v>84.75</v>
      </c>
      <c r="K47" s="4"/>
      <c r="L47" s="109">
        <f>MEDIAN(L44:L46,M44:M46)</f>
        <v>82.467</v>
      </c>
      <c r="M47" s="4"/>
      <c r="N47" s="109">
        <f>MEDIAN(N44:N46,O44:O46)</f>
        <v>45.5</v>
      </c>
      <c r="O47" s="4"/>
      <c r="P47" s="109">
        <f>MEDIAN(P44:P46,Q44:Q46)</f>
        <v>45.5</v>
      </c>
      <c r="Q47" s="4"/>
      <c r="R47" s="109">
        <f>MEDIAN(R44:R46,S44:S46)</f>
        <v>45.5</v>
      </c>
      <c r="S47" s="4"/>
      <c r="T47" s="109">
        <f>MEDIAN(T44:T46,U44:U46)</f>
        <v>215.285</v>
      </c>
      <c r="U47" s="4"/>
      <c r="V47" s="109">
        <f>MEDIAN(V44:V46,W44:W46)</f>
        <v>237.27</v>
      </c>
      <c r="W47" s="4"/>
      <c r="X47" s="109">
        <f>MEDIAN(X44:X46,Y44:Y46)</f>
        <v>249.65</v>
      </c>
      <c r="Y47" s="4"/>
      <c r="Z47" s="109">
        <f>MEDIAN(Z44:Z46,AA44:AA46)</f>
        <v>286.7</v>
      </c>
      <c r="AA47" s="4"/>
      <c r="AB47" s="109">
        <f>MEDIAN(AB44:AB46,AC44:AC46)</f>
        <v>286.7</v>
      </c>
      <c r="AC47" s="4"/>
      <c r="AD47" s="109">
        <f>MEDIAN(AD44:AD46,AE44:AE46)</f>
        <v>286.7</v>
      </c>
      <c r="AE47" s="4"/>
    </row>
    <row r="48">
      <c r="A48" s="36"/>
    </row>
    <row r="49">
      <c r="A49" s="18" t="s">
        <v>22</v>
      </c>
      <c r="B49" s="20"/>
      <c r="C49" s="20"/>
      <c r="D49" s="20"/>
      <c r="E49" s="20"/>
      <c r="F49" s="21"/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>
      <c r="A50" s="23" t="s">
        <v>23</v>
      </c>
      <c r="B50" s="25">
        <v>25.0</v>
      </c>
      <c r="C50" s="25">
        <v>25.0</v>
      </c>
      <c r="D50" s="25">
        <v>50.0</v>
      </c>
      <c r="E50" s="25">
        <v>25.0</v>
      </c>
      <c r="F50" s="25">
        <v>50.0</v>
      </c>
      <c r="G50" s="25">
        <v>25.0</v>
      </c>
      <c r="H50" s="26">
        <v>87.684</v>
      </c>
      <c r="I50" s="26">
        <v>89.172</v>
      </c>
      <c r="J50" s="26">
        <v>86.652</v>
      </c>
      <c r="K50" s="26">
        <v>90.883</v>
      </c>
      <c r="L50" s="26">
        <v>90.027</v>
      </c>
      <c r="M50" s="26">
        <v>90.633</v>
      </c>
      <c r="N50" s="27">
        <v>46.5</v>
      </c>
      <c r="O50" s="27">
        <v>46.5</v>
      </c>
      <c r="P50" s="27">
        <v>46.5</v>
      </c>
      <c r="Q50" s="27">
        <v>46.5</v>
      </c>
      <c r="R50" s="27">
        <v>46.5</v>
      </c>
      <c r="S50" s="27">
        <v>46.5</v>
      </c>
      <c r="T50" s="30">
        <v>50.44</v>
      </c>
      <c r="U50" s="30">
        <v>55.12</v>
      </c>
      <c r="V50" s="30">
        <v>67.31</v>
      </c>
      <c r="W50" s="30">
        <v>76.14</v>
      </c>
      <c r="X50" s="30">
        <v>79.9</v>
      </c>
      <c r="Y50" s="30">
        <v>79.9</v>
      </c>
      <c r="Z50" s="29">
        <v>288.508</v>
      </c>
      <c r="AA50" s="29">
        <v>292.311</v>
      </c>
      <c r="AB50" s="29">
        <v>292.331</v>
      </c>
      <c r="AC50" s="29">
        <v>292.331</v>
      </c>
      <c r="AD50" s="29">
        <v>292.341</v>
      </c>
      <c r="AE50" s="29">
        <v>292.341</v>
      </c>
    </row>
    <row r="51">
      <c r="A51" s="23" t="s">
        <v>24</v>
      </c>
      <c r="B51" s="38">
        <v>32.5</v>
      </c>
      <c r="C51" s="38">
        <v>40.0</v>
      </c>
      <c r="D51" s="38">
        <v>25.0</v>
      </c>
      <c r="E51" s="38">
        <v>50.0</v>
      </c>
      <c r="F51" s="38">
        <v>25.0</v>
      </c>
      <c r="G51" s="38">
        <v>50.0</v>
      </c>
      <c r="H51" s="26">
        <v>90.113</v>
      </c>
      <c r="I51" s="26">
        <v>91.41</v>
      </c>
      <c r="J51" s="26">
        <v>90.516</v>
      </c>
      <c r="K51" s="26">
        <v>89.848</v>
      </c>
      <c r="L51" s="26">
        <v>89.855</v>
      </c>
      <c r="M51" s="26">
        <v>91.727</v>
      </c>
      <c r="N51" s="27">
        <v>46.5</v>
      </c>
      <c r="O51" s="27">
        <v>46.5</v>
      </c>
      <c r="P51" s="27">
        <v>46.5</v>
      </c>
      <c r="Q51" s="27">
        <v>46.5</v>
      </c>
      <c r="R51" s="27">
        <v>46.5</v>
      </c>
      <c r="S51" s="27">
        <v>46.5</v>
      </c>
      <c r="T51" s="30">
        <v>120.92</v>
      </c>
      <c r="U51" s="30">
        <v>129.79</v>
      </c>
      <c r="V51" s="30">
        <v>139.14</v>
      </c>
      <c r="W51" s="30">
        <v>151.06</v>
      </c>
      <c r="X51" s="30">
        <v>154.57</v>
      </c>
      <c r="Y51" s="30">
        <v>158.75</v>
      </c>
      <c r="Z51" s="29">
        <v>292.38</v>
      </c>
      <c r="AA51" s="29">
        <v>292.38</v>
      </c>
      <c r="AB51" s="29">
        <v>292.401</v>
      </c>
      <c r="AC51" s="29">
        <v>292.401</v>
      </c>
      <c r="AD51" s="29">
        <v>292.411</v>
      </c>
      <c r="AE51" s="29">
        <v>292.411</v>
      </c>
    </row>
    <row r="52">
      <c r="A52" s="23" t="s">
        <v>25</v>
      </c>
      <c r="B52" s="38">
        <v>32.7</v>
      </c>
      <c r="C52" s="38">
        <v>25.0</v>
      </c>
      <c r="D52" s="38">
        <v>50.0</v>
      </c>
      <c r="E52" s="38">
        <v>50.0</v>
      </c>
      <c r="F52" s="38">
        <v>50.0</v>
      </c>
      <c r="G52" s="38">
        <v>33.3</v>
      </c>
      <c r="H52" s="26">
        <v>90.516</v>
      </c>
      <c r="I52" s="26">
        <v>92.258</v>
      </c>
      <c r="J52" s="26">
        <v>85.855</v>
      </c>
      <c r="K52" s="26">
        <v>90.945</v>
      </c>
      <c r="L52" s="26">
        <v>91.266</v>
      </c>
      <c r="M52" s="26">
        <v>89.953</v>
      </c>
      <c r="N52" s="27">
        <v>46.5</v>
      </c>
      <c r="O52" s="27">
        <v>46.5</v>
      </c>
      <c r="P52" s="27">
        <v>46.5</v>
      </c>
      <c r="Q52" s="27">
        <v>46.5</v>
      </c>
      <c r="R52" s="27">
        <v>46.5</v>
      </c>
      <c r="S52" s="27">
        <v>46.5</v>
      </c>
      <c r="T52" s="30">
        <v>199.84</v>
      </c>
      <c r="U52" s="30">
        <v>202.87</v>
      </c>
      <c r="V52" s="30">
        <v>219.41</v>
      </c>
      <c r="W52" s="30">
        <v>225.64</v>
      </c>
      <c r="X52" s="30">
        <v>230.46</v>
      </c>
      <c r="Y52" s="30">
        <v>234.92</v>
      </c>
      <c r="Z52" s="29">
        <v>292.45</v>
      </c>
      <c r="AA52" s="29">
        <v>292.451</v>
      </c>
      <c r="AB52" s="29">
        <v>292.471</v>
      </c>
      <c r="AC52" s="29">
        <v>292.471</v>
      </c>
      <c r="AD52" s="29">
        <v>292.481</v>
      </c>
      <c r="AE52" s="29">
        <v>292.481</v>
      </c>
    </row>
    <row r="53">
      <c r="A53" s="31" t="s">
        <v>12</v>
      </c>
      <c r="B53" s="109">
        <f>MEDIAN(B50:B52,C50:C52)</f>
        <v>28.75</v>
      </c>
      <c r="C53" s="4"/>
      <c r="D53" s="109">
        <f>MEDIAN(D50:D52,E50:E52)</f>
        <v>50</v>
      </c>
      <c r="E53" s="4"/>
      <c r="F53" s="109">
        <f>MEDIAN(F50:F52,G50:G52)</f>
        <v>41.65</v>
      </c>
      <c r="G53" s="4"/>
      <c r="H53" s="109">
        <f>MEDIAN(H50:H52,I50:I52)</f>
        <v>90.3145</v>
      </c>
      <c r="I53" s="4"/>
      <c r="J53" s="109">
        <f>MEDIAN(J50:J52,K50:K52)</f>
        <v>90.182</v>
      </c>
      <c r="K53" s="4"/>
      <c r="L53" s="109">
        <f>MEDIAN(L50:L52,M50:M52)</f>
        <v>90.33</v>
      </c>
      <c r="M53" s="4"/>
      <c r="N53" s="109">
        <f>MEDIAN(N50:N52,O50:O52)</f>
        <v>46.5</v>
      </c>
      <c r="O53" s="4"/>
      <c r="P53" s="109">
        <f>MEDIAN(P50:P52,Q50:Q52)</f>
        <v>46.5</v>
      </c>
      <c r="Q53" s="4"/>
      <c r="R53" s="109">
        <f>MEDIAN(R50:R52,S50:S52)</f>
        <v>46.5</v>
      </c>
      <c r="S53" s="4"/>
      <c r="T53" s="109">
        <f>MEDIAN(T50:T52,U50:U52)</f>
        <v>125.355</v>
      </c>
      <c r="U53" s="4"/>
      <c r="V53" s="109">
        <f>MEDIAN(V50:V52,W50:W52)</f>
        <v>145.1</v>
      </c>
      <c r="W53" s="4"/>
      <c r="X53" s="109">
        <f>MEDIAN(X50:X52,Y50:Y52)</f>
        <v>156.66</v>
      </c>
      <c r="Y53" s="4"/>
      <c r="Z53" s="109">
        <f>MEDIAN(Z50:Z52,AA50:AA52)</f>
        <v>292.38</v>
      </c>
      <c r="AA53" s="4"/>
      <c r="AB53" s="109">
        <f>MEDIAN(AB50:AB52,AC50:AC52)</f>
        <v>292.401</v>
      </c>
      <c r="AC53" s="4"/>
      <c r="AD53" s="109">
        <f>MEDIAN(AD50:AD52,AE50:AE52)</f>
        <v>292.411</v>
      </c>
      <c r="AE53" s="4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AF54" s="36"/>
      <c r="AG54" s="36"/>
      <c r="AH54" s="36"/>
      <c r="AI54" s="36"/>
      <c r="AJ54" s="36"/>
      <c r="AK54" s="36"/>
    </row>
    <row r="5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AF55" s="36"/>
      <c r="AG55" s="36"/>
      <c r="AH55" s="36"/>
      <c r="AI55" s="36"/>
      <c r="AJ55" s="36"/>
      <c r="AK55" s="36"/>
    </row>
    <row r="56">
      <c r="A56" s="110" t="s">
        <v>150</v>
      </c>
      <c r="B56" s="5" t="s">
        <v>2</v>
      </c>
      <c r="C56" s="3"/>
      <c r="D56" s="4"/>
      <c r="E56" s="6" t="s">
        <v>3</v>
      </c>
      <c r="F56" s="3"/>
      <c r="G56" s="4"/>
      <c r="H56" s="7" t="s">
        <v>4</v>
      </c>
      <c r="I56" s="3"/>
      <c r="J56" s="4"/>
      <c r="K56" s="8" t="s">
        <v>5</v>
      </c>
      <c r="L56" s="3"/>
      <c r="M56" s="4"/>
      <c r="N56" s="9" t="s">
        <v>6</v>
      </c>
      <c r="O56" s="3"/>
      <c r="P56" s="4"/>
      <c r="T56" s="36"/>
      <c r="U56" s="36"/>
      <c r="V56" s="36"/>
      <c r="W56" s="36"/>
      <c r="X56" s="36"/>
      <c r="Y56" s="36"/>
      <c r="AF56" s="36"/>
      <c r="AG56" s="36"/>
      <c r="AH56" s="36"/>
      <c r="AI56" s="36"/>
      <c r="AJ56" s="36"/>
      <c r="AK56" s="36"/>
    </row>
    <row r="57">
      <c r="A57" s="98"/>
      <c r="B57" s="12">
        <v>4096.0</v>
      </c>
      <c r="C57" s="12">
        <v>8192.0</v>
      </c>
      <c r="D57" s="12">
        <v>16384.0</v>
      </c>
      <c r="E57" s="13">
        <v>4096.0</v>
      </c>
      <c r="F57" s="13">
        <v>8192.0</v>
      </c>
      <c r="G57" s="13">
        <v>16384.0</v>
      </c>
      <c r="H57" s="14">
        <v>4096.0</v>
      </c>
      <c r="I57" s="14">
        <v>8192.0</v>
      </c>
      <c r="J57" s="14">
        <v>16384.0</v>
      </c>
      <c r="K57" s="15">
        <v>4096.0</v>
      </c>
      <c r="L57" s="15">
        <v>8192.0</v>
      </c>
      <c r="M57" s="15">
        <v>16384.0</v>
      </c>
      <c r="N57" s="16">
        <v>4096.0</v>
      </c>
      <c r="O57" s="16">
        <v>8192.0</v>
      </c>
      <c r="P57" s="16">
        <v>16384.0</v>
      </c>
      <c r="T57" s="36"/>
      <c r="U57" s="36"/>
      <c r="V57" s="36"/>
      <c r="W57" s="36"/>
      <c r="X57" s="36"/>
      <c r="Y57" s="36"/>
      <c r="AF57" s="36"/>
      <c r="AG57" s="36"/>
      <c r="AH57" s="36"/>
      <c r="AI57" s="36"/>
      <c r="AJ57" s="36"/>
      <c r="AK57" s="36"/>
    </row>
    <row r="58">
      <c r="A58" s="18" t="s">
        <v>8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T58" s="36"/>
      <c r="U58" s="36"/>
      <c r="V58" s="36"/>
      <c r="W58" s="36"/>
      <c r="X58" s="36"/>
      <c r="Y58" s="36"/>
      <c r="AF58" s="36"/>
      <c r="AG58" s="36"/>
      <c r="AH58" s="36"/>
      <c r="AI58" s="36"/>
      <c r="AJ58" s="36"/>
      <c r="AK58" s="36"/>
    </row>
    <row r="59">
      <c r="A59" s="112" t="s">
        <v>12</v>
      </c>
      <c r="B59" s="99">
        <f>(B7-B35)</f>
        <v>3.05</v>
      </c>
      <c r="C59" s="99">
        <f>(C7-D35)</f>
        <v>-15.2</v>
      </c>
      <c r="D59" s="99">
        <f>(D7-F35)</f>
        <v>12.35</v>
      </c>
      <c r="E59" s="99">
        <f>(E7-H35)</f>
        <v>2.0875</v>
      </c>
      <c r="F59" s="99">
        <f>(F7-J35)</f>
        <v>-0.5</v>
      </c>
      <c r="G59" s="99">
        <f>(G7-L35)</f>
        <v>0.0955</v>
      </c>
      <c r="H59" s="99">
        <f>(H7-N35)</f>
        <v>0</v>
      </c>
      <c r="I59" s="99">
        <f>(I7-P35)</f>
        <v>0</v>
      </c>
      <c r="J59" s="99">
        <f>(J7-R35)</f>
        <v>0</v>
      </c>
      <c r="K59" s="99">
        <f>(K7-T35)</f>
        <v>-0.32</v>
      </c>
      <c r="L59" s="99">
        <f>(L7-V35)</f>
        <v>8.105</v>
      </c>
      <c r="M59" s="99">
        <f>(M7-X35)</f>
        <v>0.08</v>
      </c>
      <c r="N59" s="99">
        <f>(N7-Z35)</f>
        <v>-1.6295</v>
      </c>
      <c r="O59" s="99">
        <f>(O7-AB35)</f>
        <v>0</v>
      </c>
      <c r="P59" s="99">
        <f>(P7-AD35)</f>
        <v>0</v>
      </c>
      <c r="T59" s="36"/>
      <c r="U59" s="36"/>
      <c r="V59" s="36"/>
      <c r="W59" s="36"/>
      <c r="X59" s="36"/>
      <c r="Y59" s="36"/>
      <c r="AF59" s="36"/>
      <c r="AG59" s="36"/>
      <c r="AH59" s="36"/>
      <c r="AI59" s="36"/>
      <c r="AJ59" s="36"/>
      <c r="AK59" s="36"/>
    </row>
    <row r="60">
      <c r="A60" s="18" t="s">
        <v>14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T60" s="36"/>
      <c r="U60" s="36"/>
      <c r="V60" s="36"/>
      <c r="W60" s="36"/>
      <c r="X60" s="36"/>
      <c r="Y60" s="36"/>
      <c r="AF60" s="36"/>
      <c r="AG60" s="36"/>
      <c r="AH60" s="36"/>
      <c r="AI60" s="36"/>
      <c r="AJ60" s="36"/>
      <c r="AK60" s="36"/>
    </row>
    <row r="61">
      <c r="A61" s="31" t="s">
        <v>12</v>
      </c>
      <c r="B61" s="95">
        <f>(B13-B41)</f>
        <v>0</v>
      </c>
      <c r="C61" s="95">
        <f>(C13-D41)</f>
        <v>8.3</v>
      </c>
      <c r="D61" s="95">
        <f>(D13-F41)</f>
        <v>0</v>
      </c>
      <c r="E61" s="95">
        <f>(E13-H41)</f>
        <v>-0.9155</v>
      </c>
      <c r="F61" s="95">
        <f>(F13-J41)</f>
        <v>-1.6605</v>
      </c>
      <c r="G61" s="95">
        <f>(G13-L41)</f>
        <v>-0.223</v>
      </c>
      <c r="H61" s="95">
        <f>(H13-N41)</f>
        <v>0</v>
      </c>
      <c r="I61" s="95">
        <f>(I13-P41)</f>
        <v>0</v>
      </c>
      <c r="J61" s="95">
        <f>(J13-R41)</f>
        <v>0</v>
      </c>
      <c r="K61" s="95">
        <f>(K13-T41)</f>
        <v>7.07</v>
      </c>
      <c r="L61" s="95">
        <f>(L13-V41)</f>
        <v>8.775</v>
      </c>
      <c r="M61" s="95">
        <f>(M13-X41)</f>
        <v>0.535</v>
      </c>
      <c r="N61" s="95">
        <f>(N13-Z41)</f>
        <v>0</v>
      </c>
      <c r="O61" s="95">
        <f>(O13-AB41)</f>
        <v>0</v>
      </c>
      <c r="P61" s="95">
        <f>(P13-AD41)</f>
        <v>0</v>
      </c>
      <c r="T61" s="36"/>
      <c r="U61" s="36"/>
      <c r="V61" s="36"/>
      <c r="W61" s="36"/>
      <c r="X61" s="36"/>
      <c r="Y61" s="36"/>
      <c r="AF61" s="36"/>
      <c r="AG61" s="36"/>
      <c r="AH61" s="36"/>
      <c r="AI61" s="36"/>
      <c r="AJ61" s="36"/>
      <c r="AK61" s="36"/>
    </row>
    <row r="62">
      <c r="A62" s="18" t="s">
        <v>18</v>
      </c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T62" s="36"/>
      <c r="U62" s="36"/>
      <c r="V62" s="36"/>
      <c r="W62" s="36"/>
      <c r="X62" s="36"/>
      <c r="Y62" s="36"/>
      <c r="AF62" s="36"/>
      <c r="AG62" s="36"/>
      <c r="AH62" s="36"/>
      <c r="AI62" s="36"/>
      <c r="AJ62" s="36"/>
      <c r="AK62" s="36"/>
    </row>
    <row r="63">
      <c r="A63" s="31" t="s">
        <v>12</v>
      </c>
      <c r="B63" s="95">
        <f>(B19-B47)</f>
        <v>-5.85</v>
      </c>
      <c r="C63" s="95">
        <f>(C19-D47)</f>
        <v>0</v>
      </c>
      <c r="D63" s="95">
        <f>(D19-F47)</f>
        <v>-7.5</v>
      </c>
      <c r="E63" s="95">
        <f>(E19-H47)</f>
        <v>-0.711</v>
      </c>
      <c r="F63" s="95">
        <f>(F19-J47)</f>
        <v>0.086</v>
      </c>
      <c r="G63" s="95">
        <f>(G19-L47)</f>
        <v>-0.596</v>
      </c>
      <c r="H63" s="95">
        <f>(H19-N47)</f>
        <v>0</v>
      </c>
      <c r="I63" s="95">
        <f>(I19-P47)</f>
        <v>0</v>
      </c>
      <c r="J63" s="95">
        <f>(J19-R47)</f>
        <v>0</v>
      </c>
      <c r="K63" s="95">
        <f>(K19-T47)</f>
        <v>-0.895</v>
      </c>
      <c r="L63" s="95">
        <f>(L19-V47)</f>
        <v>6.86</v>
      </c>
      <c r="M63" s="95">
        <f>(M19-X47)</f>
        <v>0.29</v>
      </c>
      <c r="N63" s="95">
        <f>(N19-Z47)</f>
        <v>0</v>
      </c>
      <c r="O63" s="95">
        <f>(O19-AB47)</f>
        <v>-4.3</v>
      </c>
      <c r="P63" s="95">
        <f>(P19-AD47)</f>
        <v>0</v>
      </c>
      <c r="T63" s="36"/>
      <c r="U63" s="36"/>
      <c r="V63" s="36"/>
      <c r="W63" s="36"/>
      <c r="X63" s="36"/>
      <c r="Y63" s="36"/>
      <c r="AF63" s="36"/>
      <c r="AG63" s="36"/>
      <c r="AH63" s="36"/>
      <c r="AI63" s="36"/>
      <c r="AJ63" s="36"/>
      <c r="AK63" s="36"/>
    </row>
    <row r="64">
      <c r="A64" s="18" t="s">
        <v>22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T64" s="36"/>
      <c r="U64" s="36"/>
      <c r="V64" s="36"/>
      <c r="W64" s="36"/>
      <c r="X64" s="36"/>
      <c r="Y64" s="36"/>
      <c r="AF64" s="36"/>
      <c r="AG64" s="36"/>
      <c r="AH64" s="36"/>
      <c r="AI64" s="36"/>
      <c r="AJ64" s="36"/>
      <c r="AK64" s="36"/>
    </row>
    <row r="65">
      <c r="A65" s="31" t="s">
        <v>12</v>
      </c>
      <c r="B65" s="95">
        <f>(B25-B53)</f>
        <v>4.55</v>
      </c>
      <c r="C65" s="95">
        <f>(C25-D53)</f>
        <v>-16.7</v>
      </c>
      <c r="D65" s="95">
        <f>(D25-F53)</f>
        <v>-1.65</v>
      </c>
      <c r="E65" s="95">
        <f>(E25-H53)</f>
        <v>1.5335</v>
      </c>
      <c r="F65" s="95">
        <f>(F25-J53)</f>
        <v>-1.186</v>
      </c>
      <c r="G65" s="95">
        <f>(G25-L53)</f>
        <v>-0.248</v>
      </c>
      <c r="H65" s="95">
        <f>(H25-N53)</f>
        <v>0</v>
      </c>
      <c r="I65" s="95">
        <f>(I25-P53)</f>
        <v>0</v>
      </c>
      <c r="J65" s="95">
        <f>(J25-R53)</f>
        <v>0</v>
      </c>
      <c r="K65" s="95">
        <f>(K25-T53)</f>
        <v>-4.415</v>
      </c>
      <c r="L65" s="95">
        <f>(L25-V53)</f>
        <v>5.95</v>
      </c>
      <c r="M65" s="95">
        <f>(M25-X53)</f>
        <v>-1.91</v>
      </c>
      <c r="N65" s="95">
        <f>(N25-Z53)</f>
        <v>0</v>
      </c>
      <c r="O65" s="95">
        <f>(O25-AB53)</f>
        <v>0</v>
      </c>
      <c r="P65" s="95">
        <f>(P25-AD53)</f>
        <v>0</v>
      </c>
      <c r="T65" s="36"/>
      <c r="U65" s="36"/>
      <c r="V65" s="36"/>
      <c r="W65" s="36"/>
      <c r="X65" s="36"/>
      <c r="Y65" s="36"/>
      <c r="AF65" s="36"/>
      <c r="AG65" s="36"/>
      <c r="AH65" s="36"/>
      <c r="AI65" s="36"/>
      <c r="AJ65" s="36"/>
      <c r="AK65" s="36"/>
    </row>
    <row r="66">
      <c r="A66" s="10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AF66" s="36"/>
      <c r="AG66" s="36"/>
      <c r="AH66" s="36"/>
      <c r="AI66" s="36"/>
      <c r="AJ66" s="36"/>
      <c r="AK66" s="36"/>
    </row>
    <row r="67">
      <c r="U67" s="36"/>
      <c r="V67" s="36"/>
      <c r="W67" s="36"/>
      <c r="X67" s="36"/>
      <c r="Y67" s="36"/>
      <c r="AF67" s="36"/>
      <c r="AG67" s="36"/>
      <c r="AH67" s="36"/>
      <c r="AI67" s="36"/>
      <c r="AJ67" s="36"/>
      <c r="AK67" s="36"/>
    </row>
    <row r="68">
      <c r="U68" s="36"/>
      <c r="V68" s="36"/>
      <c r="W68" s="36"/>
      <c r="X68" s="36"/>
      <c r="Y68" s="36"/>
      <c r="AF68" s="36"/>
      <c r="AG68" s="36"/>
      <c r="AH68" s="36"/>
      <c r="AI68" s="36"/>
      <c r="AJ68" s="36"/>
      <c r="AK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AF69" s="36"/>
      <c r="AG69" s="36"/>
      <c r="AH69" s="36"/>
      <c r="AI69" s="36"/>
      <c r="AJ69" s="36"/>
      <c r="AK69" s="36"/>
    </row>
    <row r="70">
      <c r="U70" s="36"/>
      <c r="V70" s="36"/>
      <c r="W70" s="36"/>
      <c r="X70" s="36"/>
      <c r="Y70" s="36"/>
      <c r="AF70" s="36"/>
      <c r="AG70" s="36"/>
      <c r="AH70" s="36"/>
      <c r="AI70" s="36"/>
      <c r="AJ70" s="36"/>
      <c r="AK70" s="36"/>
    </row>
    <row r="71">
      <c r="U71" s="36"/>
      <c r="V71" s="36"/>
      <c r="W71" s="36"/>
      <c r="X71" s="36"/>
      <c r="Y71" s="36"/>
      <c r="AF71" s="36"/>
      <c r="AG71" s="36"/>
      <c r="AH71" s="36"/>
      <c r="AI71" s="36"/>
      <c r="AJ71" s="36"/>
      <c r="AK71" s="36"/>
    </row>
    <row r="72">
      <c r="U72" s="36"/>
      <c r="V72" s="36"/>
      <c r="W72" s="36"/>
      <c r="X72" s="36"/>
      <c r="Y72" s="36"/>
      <c r="AF72" s="36"/>
      <c r="AG72" s="36"/>
      <c r="AH72" s="36"/>
      <c r="AI72" s="36"/>
      <c r="AJ72" s="36"/>
      <c r="AK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AF73" s="36"/>
      <c r="AG73" s="36"/>
      <c r="AH73" s="36"/>
      <c r="AI73" s="36"/>
      <c r="AJ73" s="36"/>
      <c r="AK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AF74" s="36"/>
      <c r="AG74" s="36"/>
      <c r="AH74" s="36"/>
      <c r="AI74" s="36"/>
      <c r="AJ74" s="36"/>
      <c r="AK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AF75" s="36"/>
      <c r="AG75" s="36"/>
      <c r="AH75" s="36"/>
      <c r="AI75" s="36"/>
      <c r="AJ75" s="36"/>
      <c r="AK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AF76" s="36"/>
      <c r="AG76" s="36"/>
      <c r="AH76" s="36"/>
      <c r="AI76" s="36"/>
      <c r="AJ76" s="36"/>
      <c r="AK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AF77" s="36"/>
      <c r="AG77" s="36"/>
      <c r="AH77" s="36"/>
      <c r="AI77" s="36"/>
      <c r="AJ77" s="36"/>
      <c r="AK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AF78" s="36"/>
      <c r="AG78" s="36"/>
      <c r="AH78" s="36"/>
      <c r="AI78" s="36"/>
      <c r="AJ78" s="36"/>
      <c r="AK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AF79" s="36"/>
      <c r="AG79" s="36"/>
      <c r="AH79" s="36"/>
      <c r="AI79" s="36"/>
      <c r="AJ79" s="36"/>
      <c r="AK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AF80" s="36"/>
      <c r="AG80" s="36"/>
      <c r="AH80" s="36"/>
      <c r="AI80" s="36"/>
      <c r="AJ80" s="36"/>
      <c r="AK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AF81" s="36"/>
      <c r="AG81" s="36"/>
      <c r="AH81" s="36"/>
      <c r="AI81" s="36"/>
      <c r="AJ81" s="36"/>
      <c r="AK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AF82" s="36"/>
      <c r="AG82" s="36"/>
      <c r="AH82" s="36"/>
      <c r="AI82" s="36"/>
      <c r="AJ82" s="36"/>
      <c r="AK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AF83" s="36"/>
      <c r="AG83" s="36"/>
      <c r="AH83" s="36"/>
      <c r="AI83" s="36"/>
      <c r="AJ83" s="36"/>
      <c r="AK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AF84" s="36"/>
      <c r="AG84" s="36"/>
      <c r="AH84" s="36"/>
      <c r="AI84" s="36"/>
      <c r="AJ84" s="36"/>
      <c r="AK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AF85" s="36"/>
      <c r="AG85" s="36"/>
      <c r="AH85" s="36"/>
      <c r="AI85" s="36"/>
      <c r="AJ85" s="36"/>
      <c r="AK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AF86" s="36"/>
      <c r="AG86" s="36"/>
      <c r="AH86" s="36"/>
      <c r="AI86" s="36"/>
      <c r="AJ86" s="36"/>
      <c r="AK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AF87" s="36"/>
      <c r="AG87" s="36"/>
      <c r="AH87" s="36"/>
      <c r="AI87" s="36"/>
      <c r="AJ87" s="36"/>
      <c r="AK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AF88" s="36"/>
      <c r="AG88" s="36"/>
      <c r="AH88" s="36"/>
      <c r="AI88" s="36"/>
      <c r="AJ88" s="36"/>
      <c r="AK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AF89" s="36"/>
      <c r="AG89" s="36"/>
      <c r="AH89" s="36"/>
      <c r="AI89" s="36"/>
      <c r="AJ89" s="36"/>
      <c r="AK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AF90" s="36"/>
      <c r="AG90" s="36"/>
      <c r="AH90" s="36"/>
      <c r="AI90" s="36"/>
      <c r="AJ90" s="36"/>
      <c r="AK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AF91" s="36"/>
      <c r="AG91" s="36"/>
      <c r="AH91" s="36"/>
      <c r="AI91" s="36"/>
      <c r="AJ91" s="36"/>
      <c r="AK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AF92" s="36"/>
      <c r="AG92" s="36"/>
      <c r="AH92" s="36"/>
      <c r="AI92" s="36"/>
      <c r="AJ92" s="36"/>
      <c r="AK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AF93" s="36"/>
      <c r="AG93" s="36"/>
      <c r="AH93" s="36"/>
      <c r="AI93" s="36"/>
      <c r="AJ93" s="36"/>
      <c r="AK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AF94" s="36"/>
      <c r="AG94" s="36"/>
      <c r="AH94" s="36"/>
      <c r="AI94" s="36"/>
      <c r="AJ94" s="36"/>
      <c r="AK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AF95" s="36"/>
      <c r="AG95" s="36"/>
      <c r="AH95" s="36"/>
      <c r="AI95" s="36"/>
      <c r="AJ95" s="36"/>
      <c r="AK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AF96" s="36"/>
      <c r="AG96" s="36"/>
      <c r="AH96" s="36"/>
      <c r="AI96" s="36"/>
      <c r="AJ96" s="36"/>
      <c r="AK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AF97" s="36"/>
      <c r="AG97" s="36"/>
      <c r="AH97" s="36"/>
      <c r="AI97" s="36"/>
      <c r="AJ97" s="36"/>
      <c r="AK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AF98" s="36"/>
      <c r="AG98" s="36"/>
      <c r="AH98" s="36"/>
      <c r="AI98" s="36"/>
      <c r="AJ98" s="36"/>
      <c r="AK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AF99" s="36"/>
      <c r="AG99" s="36"/>
      <c r="AH99" s="36"/>
      <c r="AI99" s="36"/>
      <c r="AJ99" s="36"/>
      <c r="AK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AF100" s="36"/>
      <c r="AG100" s="36"/>
      <c r="AH100" s="36"/>
      <c r="AI100" s="36"/>
      <c r="AJ100" s="36"/>
      <c r="AK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AF101" s="36"/>
      <c r="AG101" s="36"/>
      <c r="AH101" s="36"/>
      <c r="AI101" s="36"/>
      <c r="AJ101" s="36"/>
      <c r="AK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AF102" s="36"/>
      <c r="AG102" s="36"/>
      <c r="AH102" s="36"/>
      <c r="AI102" s="36"/>
      <c r="AJ102" s="36"/>
      <c r="AK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AF103" s="36"/>
      <c r="AG103" s="36"/>
      <c r="AH103" s="36"/>
      <c r="AI103" s="36"/>
      <c r="AJ103" s="36"/>
      <c r="AK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AF104" s="36"/>
      <c r="AG104" s="36"/>
      <c r="AH104" s="36"/>
      <c r="AI104" s="36"/>
      <c r="AJ104" s="36"/>
      <c r="AK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AF105" s="36"/>
      <c r="AG105" s="36"/>
      <c r="AH105" s="36"/>
      <c r="AI105" s="36"/>
      <c r="AJ105" s="36"/>
      <c r="AK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AF106" s="36"/>
      <c r="AG106" s="36"/>
      <c r="AH106" s="36"/>
      <c r="AI106" s="36"/>
      <c r="AJ106" s="36"/>
      <c r="AK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AF107" s="36"/>
      <c r="AG107" s="36"/>
      <c r="AH107" s="36"/>
      <c r="AI107" s="36"/>
      <c r="AJ107" s="36"/>
      <c r="AK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AF108" s="36"/>
      <c r="AG108" s="36"/>
      <c r="AH108" s="36"/>
      <c r="AI108" s="36"/>
      <c r="AJ108" s="36"/>
      <c r="AK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AF109" s="36"/>
      <c r="AG109" s="36"/>
      <c r="AH109" s="36"/>
      <c r="AI109" s="36"/>
      <c r="AJ109" s="36"/>
      <c r="AK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AF110" s="36"/>
      <c r="AG110" s="36"/>
      <c r="AH110" s="36"/>
      <c r="AI110" s="36"/>
      <c r="AJ110" s="36"/>
      <c r="AK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AF111" s="36"/>
      <c r="AG111" s="36"/>
      <c r="AH111" s="36"/>
      <c r="AI111" s="36"/>
      <c r="AJ111" s="36"/>
      <c r="AK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AF112" s="36"/>
      <c r="AG112" s="36"/>
      <c r="AH112" s="36"/>
      <c r="AI112" s="36"/>
      <c r="AJ112" s="36"/>
      <c r="AK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AF113" s="36"/>
      <c r="AG113" s="36"/>
      <c r="AH113" s="36"/>
      <c r="AI113" s="36"/>
      <c r="AJ113" s="36"/>
      <c r="AK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AF114" s="36"/>
      <c r="AG114" s="36"/>
      <c r="AH114" s="36"/>
      <c r="AI114" s="36"/>
      <c r="AJ114" s="36"/>
      <c r="AK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AF115" s="36"/>
      <c r="AG115" s="36"/>
      <c r="AH115" s="36"/>
      <c r="AI115" s="36"/>
      <c r="AJ115" s="36"/>
      <c r="AK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AF116" s="36"/>
      <c r="AG116" s="36"/>
      <c r="AH116" s="36"/>
      <c r="AI116" s="36"/>
      <c r="AJ116" s="36"/>
      <c r="AK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AF117" s="36"/>
      <c r="AG117" s="36"/>
      <c r="AH117" s="36"/>
      <c r="AI117" s="36"/>
      <c r="AJ117" s="36"/>
      <c r="AK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AF118" s="36"/>
      <c r="AG118" s="36"/>
      <c r="AH118" s="36"/>
      <c r="AI118" s="36"/>
      <c r="AJ118" s="36"/>
      <c r="AK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AF119" s="36"/>
      <c r="AG119" s="36"/>
      <c r="AH119" s="36"/>
      <c r="AI119" s="36"/>
      <c r="AJ119" s="36"/>
      <c r="AK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AF120" s="36"/>
      <c r="AG120" s="36"/>
      <c r="AH120" s="36"/>
      <c r="AI120" s="36"/>
      <c r="AJ120" s="36"/>
      <c r="AK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AF121" s="36"/>
      <c r="AG121" s="36"/>
      <c r="AH121" s="36"/>
      <c r="AI121" s="36"/>
      <c r="AJ121" s="36"/>
      <c r="AK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AF122" s="36"/>
      <c r="AG122" s="36"/>
      <c r="AH122" s="36"/>
      <c r="AI122" s="36"/>
      <c r="AJ122" s="36"/>
      <c r="AK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AF123" s="36"/>
      <c r="AG123" s="36"/>
      <c r="AH123" s="36"/>
      <c r="AI123" s="36"/>
      <c r="AJ123" s="36"/>
      <c r="AK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AF124" s="36"/>
      <c r="AG124" s="36"/>
      <c r="AH124" s="36"/>
      <c r="AI124" s="36"/>
      <c r="AJ124" s="36"/>
      <c r="AK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AF125" s="36"/>
      <c r="AG125" s="36"/>
      <c r="AH125" s="36"/>
      <c r="AI125" s="36"/>
      <c r="AJ125" s="36"/>
      <c r="AK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AF126" s="36"/>
      <c r="AG126" s="36"/>
      <c r="AH126" s="36"/>
      <c r="AI126" s="36"/>
      <c r="AJ126" s="36"/>
      <c r="AK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AF127" s="36"/>
      <c r="AG127" s="36"/>
      <c r="AH127" s="36"/>
      <c r="AI127" s="36"/>
      <c r="AJ127" s="36"/>
      <c r="AK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AF128" s="36"/>
      <c r="AG128" s="36"/>
      <c r="AH128" s="36"/>
      <c r="AI128" s="36"/>
      <c r="AJ128" s="36"/>
      <c r="AK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AF129" s="36"/>
      <c r="AG129" s="36"/>
      <c r="AH129" s="36"/>
      <c r="AI129" s="36"/>
      <c r="AJ129" s="36"/>
      <c r="AK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AF130" s="36"/>
      <c r="AG130" s="36"/>
      <c r="AH130" s="36"/>
      <c r="AI130" s="36"/>
      <c r="AJ130" s="36"/>
      <c r="AK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AF131" s="36"/>
      <c r="AG131" s="36"/>
      <c r="AH131" s="36"/>
      <c r="AI131" s="36"/>
      <c r="AJ131" s="36"/>
      <c r="AK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AF132" s="36"/>
      <c r="AG132" s="36"/>
      <c r="AH132" s="36"/>
      <c r="AI132" s="36"/>
      <c r="AJ132" s="36"/>
      <c r="AK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AF133" s="36"/>
      <c r="AG133" s="36"/>
      <c r="AH133" s="36"/>
      <c r="AI133" s="36"/>
      <c r="AJ133" s="36"/>
      <c r="AK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AF134" s="36"/>
      <c r="AG134" s="36"/>
      <c r="AH134" s="36"/>
      <c r="AI134" s="36"/>
      <c r="AJ134" s="36"/>
      <c r="AK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AF135" s="36"/>
      <c r="AG135" s="36"/>
      <c r="AH135" s="36"/>
      <c r="AI135" s="36"/>
      <c r="AJ135" s="36"/>
      <c r="AK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AF136" s="36"/>
      <c r="AG136" s="36"/>
      <c r="AH136" s="36"/>
      <c r="AI136" s="36"/>
      <c r="AJ136" s="36"/>
      <c r="AK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AF137" s="36"/>
      <c r="AG137" s="36"/>
      <c r="AH137" s="36"/>
      <c r="AI137" s="36"/>
      <c r="AJ137" s="36"/>
      <c r="AK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AF138" s="36"/>
      <c r="AG138" s="36"/>
      <c r="AH138" s="36"/>
      <c r="AI138" s="36"/>
      <c r="AJ138" s="36"/>
      <c r="AK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AF139" s="36"/>
      <c r="AG139" s="36"/>
      <c r="AH139" s="36"/>
      <c r="AI139" s="36"/>
      <c r="AJ139" s="36"/>
      <c r="AK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AF140" s="36"/>
      <c r="AG140" s="36"/>
      <c r="AH140" s="36"/>
      <c r="AI140" s="36"/>
      <c r="AJ140" s="36"/>
      <c r="AK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AF141" s="36"/>
      <c r="AG141" s="36"/>
      <c r="AH141" s="36"/>
      <c r="AI141" s="36"/>
      <c r="AJ141" s="36"/>
      <c r="AK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AF142" s="36"/>
      <c r="AG142" s="36"/>
      <c r="AH142" s="36"/>
      <c r="AI142" s="36"/>
      <c r="AJ142" s="36"/>
      <c r="AK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AF143" s="36"/>
      <c r="AG143" s="36"/>
      <c r="AH143" s="36"/>
      <c r="AI143" s="36"/>
      <c r="AJ143" s="36"/>
      <c r="AK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AF144" s="36"/>
      <c r="AG144" s="36"/>
      <c r="AH144" s="36"/>
      <c r="AI144" s="36"/>
      <c r="AJ144" s="36"/>
      <c r="AK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AF145" s="36"/>
      <c r="AG145" s="36"/>
      <c r="AH145" s="36"/>
      <c r="AI145" s="36"/>
      <c r="AJ145" s="36"/>
      <c r="AK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AF146" s="36"/>
      <c r="AG146" s="36"/>
      <c r="AH146" s="36"/>
      <c r="AI146" s="36"/>
      <c r="AJ146" s="36"/>
      <c r="AK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AF147" s="36"/>
      <c r="AG147" s="36"/>
      <c r="AH147" s="36"/>
      <c r="AI147" s="36"/>
      <c r="AJ147" s="36"/>
      <c r="AK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AF148" s="36"/>
      <c r="AG148" s="36"/>
      <c r="AH148" s="36"/>
      <c r="AI148" s="36"/>
      <c r="AJ148" s="36"/>
      <c r="AK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AF149" s="36"/>
      <c r="AG149" s="36"/>
      <c r="AH149" s="36"/>
      <c r="AI149" s="36"/>
      <c r="AJ149" s="36"/>
      <c r="AK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AF150" s="36"/>
      <c r="AG150" s="36"/>
      <c r="AH150" s="36"/>
      <c r="AI150" s="36"/>
      <c r="AJ150" s="36"/>
      <c r="AK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AF151" s="36"/>
      <c r="AG151" s="36"/>
      <c r="AH151" s="36"/>
      <c r="AI151" s="36"/>
      <c r="AJ151" s="36"/>
      <c r="AK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AF152" s="36"/>
      <c r="AG152" s="36"/>
      <c r="AH152" s="36"/>
      <c r="AI152" s="36"/>
      <c r="AJ152" s="36"/>
      <c r="AK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AF153" s="36"/>
      <c r="AG153" s="36"/>
      <c r="AH153" s="36"/>
      <c r="AI153" s="36"/>
      <c r="AJ153" s="36"/>
      <c r="AK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AF154" s="36"/>
      <c r="AG154" s="36"/>
      <c r="AH154" s="36"/>
      <c r="AI154" s="36"/>
      <c r="AJ154" s="36"/>
      <c r="AK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AF155" s="36"/>
      <c r="AG155" s="36"/>
      <c r="AH155" s="36"/>
      <c r="AI155" s="36"/>
      <c r="AJ155" s="36"/>
      <c r="AK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AF156" s="36"/>
      <c r="AG156" s="36"/>
      <c r="AH156" s="36"/>
      <c r="AI156" s="36"/>
      <c r="AJ156" s="36"/>
      <c r="AK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AF157" s="36"/>
      <c r="AG157" s="36"/>
      <c r="AH157" s="36"/>
      <c r="AI157" s="36"/>
      <c r="AJ157" s="36"/>
      <c r="AK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AF158" s="36"/>
      <c r="AG158" s="36"/>
      <c r="AH158" s="36"/>
      <c r="AI158" s="36"/>
      <c r="AJ158" s="36"/>
      <c r="AK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AF159" s="36"/>
      <c r="AG159" s="36"/>
      <c r="AH159" s="36"/>
      <c r="AI159" s="36"/>
      <c r="AJ159" s="36"/>
      <c r="AK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AF160" s="36"/>
      <c r="AG160" s="36"/>
      <c r="AH160" s="36"/>
      <c r="AI160" s="36"/>
      <c r="AJ160" s="36"/>
      <c r="AK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AF161" s="36"/>
      <c r="AG161" s="36"/>
      <c r="AH161" s="36"/>
      <c r="AI161" s="36"/>
      <c r="AJ161" s="36"/>
      <c r="AK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AF162" s="36"/>
      <c r="AG162" s="36"/>
      <c r="AH162" s="36"/>
      <c r="AI162" s="36"/>
      <c r="AJ162" s="36"/>
      <c r="AK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AF163" s="36"/>
      <c r="AG163" s="36"/>
      <c r="AH163" s="36"/>
      <c r="AI163" s="36"/>
      <c r="AJ163" s="36"/>
      <c r="AK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AF164" s="36"/>
      <c r="AG164" s="36"/>
      <c r="AH164" s="36"/>
      <c r="AI164" s="36"/>
      <c r="AJ164" s="36"/>
      <c r="AK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AF165" s="36"/>
      <c r="AG165" s="36"/>
      <c r="AH165" s="36"/>
      <c r="AI165" s="36"/>
      <c r="AJ165" s="36"/>
      <c r="AK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AF166" s="36"/>
      <c r="AG166" s="36"/>
      <c r="AH166" s="36"/>
      <c r="AI166" s="36"/>
      <c r="AJ166" s="36"/>
      <c r="AK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AF167" s="36"/>
      <c r="AG167" s="36"/>
      <c r="AH167" s="36"/>
      <c r="AI167" s="36"/>
      <c r="AJ167" s="36"/>
      <c r="AK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AF168" s="36"/>
      <c r="AG168" s="36"/>
      <c r="AH168" s="36"/>
      <c r="AI168" s="36"/>
      <c r="AJ168" s="36"/>
      <c r="AK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AF169" s="36"/>
      <c r="AG169" s="36"/>
      <c r="AH169" s="36"/>
      <c r="AI169" s="36"/>
      <c r="AJ169" s="36"/>
      <c r="AK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AF170" s="36"/>
      <c r="AG170" s="36"/>
      <c r="AH170" s="36"/>
      <c r="AI170" s="36"/>
      <c r="AJ170" s="36"/>
      <c r="AK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AF171" s="36"/>
      <c r="AG171" s="36"/>
      <c r="AH171" s="36"/>
      <c r="AI171" s="36"/>
      <c r="AJ171" s="36"/>
      <c r="AK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AF172" s="36"/>
      <c r="AG172" s="36"/>
      <c r="AH172" s="36"/>
      <c r="AI172" s="36"/>
      <c r="AJ172" s="36"/>
      <c r="AK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AF173" s="36"/>
      <c r="AG173" s="36"/>
      <c r="AH173" s="36"/>
      <c r="AI173" s="36"/>
      <c r="AJ173" s="36"/>
      <c r="AK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AF174" s="36"/>
      <c r="AG174" s="36"/>
      <c r="AH174" s="36"/>
      <c r="AI174" s="36"/>
      <c r="AJ174" s="36"/>
      <c r="AK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AF175" s="36"/>
      <c r="AG175" s="36"/>
      <c r="AH175" s="36"/>
      <c r="AI175" s="36"/>
      <c r="AJ175" s="36"/>
      <c r="AK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AF176" s="36"/>
      <c r="AG176" s="36"/>
      <c r="AH176" s="36"/>
      <c r="AI176" s="36"/>
      <c r="AJ176" s="36"/>
      <c r="AK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AF177" s="36"/>
      <c r="AG177" s="36"/>
      <c r="AH177" s="36"/>
      <c r="AI177" s="36"/>
      <c r="AJ177" s="36"/>
      <c r="AK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AF178" s="36"/>
      <c r="AG178" s="36"/>
      <c r="AH178" s="36"/>
      <c r="AI178" s="36"/>
      <c r="AJ178" s="36"/>
      <c r="AK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AF179" s="36"/>
      <c r="AG179" s="36"/>
      <c r="AH179" s="36"/>
      <c r="AI179" s="36"/>
      <c r="AJ179" s="36"/>
      <c r="AK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AF180" s="36"/>
      <c r="AG180" s="36"/>
      <c r="AH180" s="36"/>
      <c r="AI180" s="36"/>
      <c r="AJ180" s="36"/>
      <c r="AK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AF181" s="36"/>
      <c r="AG181" s="36"/>
      <c r="AH181" s="36"/>
      <c r="AI181" s="36"/>
      <c r="AJ181" s="36"/>
      <c r="AK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AF182" s="36"/>
      <c r="AG182" s="36"/>
      <c r="AH182" s="36"/>
      <c r="AI182" s="36"/>
      <c r="AJ182" s="36"/>
      <c r="AK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AF183" s="36"/>
      <c r="AG183" s="36"/>
      <c r="AH183" s="36"/>
      <c r="AI183" s="36"/>
      <c r="AJ183" s="36"/>
      <c r="AK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AF184" s="36"/>
      <c r="AG184" s="36"/>
      <c r="AH184" s="36"/>
      <c r="AI184" s="36"/>
      <c r="AJ184" s="36"/>
      <c r="AK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AF185" s="36"/>
      <c r="AG185" s="36"/>
      <c r="AH185" s="36"/>
      <c r="AI185" s="36"/>
      <c r="AJ185" s="36"/>
      <c r="AK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AF186" s="36"/>
      <c r="AG186" s="36"/>
      <c r="AH186" s="36"/>
      <c r="AI186" s="36"/>
      <c r="AJ186" s="36"/>
      <c r="AK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AF187" s="36"/>
      <c r="AG187" s="36"/>
      <c r="AH187" s="36"/>
      <c r="AI187" s="36"/>
      <c r="AJ187" s="36"/>
      <c r="AK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AF188" s="36"/>
      <c r="AG188" s="36"/>
      <c r="AH188" s="36"/>
      <c r="AI188" s="36"/>
      <c r="AJ188" s="36"/>
      <c r="AK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AF189" s="36"/>
      <c r="AG189" s="36"/>
      <c r="AH189" s="36"/>
      <c r="AI189" s="36"/>
      <c r="AJ189" s="36"/>
      <c r="AK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AF190" s="36"/>
      <c r="AG190" s="36"/>
      <c r="AH190" s="36"/>
      <c r="AI190" s="36"/>
      <c r="AJ190" s="36"/>
      <c r="AK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AF191" s="36"/>
      <c r="AG191" s="36"/>
      <c r="AH191" s="36"/>
      <c r="AI191" s="36"/>
      <c r="AJ191" s="36"/>
      <c r="AK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AF192" s="36"/>
      <c r="AG192" s="36"/>
      <c r="AH192" s="36"/>
      <c r="AI192" s="36"/>
      <c r="AJ192" s="36"/>
      <c r="AK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AF193" s="36"/>
      <c r="AG193" s="36"/>
      <c r="AH193" s="36"/>
      <c r="AI193" s="36"/>
      <c r="AJ193" s="36"/>
      <c r="AK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AF194" s="36"/>
      <c r="AG194" s="36"/>
      <c r="AH194" s="36"/>
      <c r="AI194" s="36"/>
      <c r="AJ194" s="36"/>
      <c r="AK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AF195" s="36"/>
      <c r="AG195" s="36"/>
      <c r="AH195" s="36"/>
      <c r="AI195" s="36"/>
      <c r="AJ195" s="36"/>
      <c r="AK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AF196" s="36"/>
      <c r="AG196" s="36"/>
      <c r="AH196" s="36"/>
      <c r="AI196" s="36"/>
      <c r="AJ196" s="36"/>
      <c r="AK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AF197" s="36"/>
      <c r="AG197" s="36"/>
      <c r="AH197" s="36"/>
      <c r="AI197" s="36"/>
      <c r="AJ197" s="36"/>
      <c r="AK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AF198" s="36"/>
      <c r="AG198" s="36"/>
      <c r="AH198" s="36"/>
      <c r="AI198" s="36"/>
      <c r="AJ198" s="36"/>
      <c r="AK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AF199" s="36"/>
      <c r="AG199" s="36"/>
      <c r="AH199" s="36"/>
      <c r="AI199" s="36"/>
      <c r="AJ199" s="36"/>
      <c r="AK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AF200" s="36"/>
      <c r="AG200" s="36"/>
      <c r="AH200" s="36"/>
      <c r="AI200" s="36"/>
      <c r="AJ200" s="36"/>
      <c r="AK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AF201" s="36"/>
      <c r="AG201" s="36"/>
      <c r="AH201" s="36"/>
      <c r="AI201" s="36"/>
      <c r="AJ201" s="36"/>
      <c r="AK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AF202" s="36"/>
      <c r="AG202" s="36"/>
      <c r="AH202" s="36"/>
      <c r="AI202" s="36"/>
      <c r="AJ202" s="36"/>
      <c r="AK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AF203" s="36"/>
      <c r="AG203" s="36"/>
      <c r="AH203" s="36"/>
      <c r="AI203" s="36"/>
      <c r="AJ203" s="36"/>
      <c r="AK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AF204" s="36"/>
      <c r="AG204" s="36"/>
      <c r="AH204" s="36"/>
      <c r="AI204" s="36"/>
      <c r="AJ204" s="36"/>
      <c r="AK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AF205" s="36"/>
      <c r="AG205" s="36"/>
      <c r="AH205" s="36"/>
      <c r="AI205" s="36"/>
      <c r="AJ205" s="36"/>
      <c r="AK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AF206" s="36"/>
      <c r="AG206" s="36"/>
      <c r="AH206" s="36"/>
      <c r="AI206" s="36"/>
      <c r="AJ206" s="36"/>
      <c r="AK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AF207" s="36"/>
      <c r="AG207" s="36"/>
      <c r="AH207" s="36"/>
      <c r="AI207" s="36"/>
      <c r="AJ207" s="36"/>
      <c r="AK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AF208" s="36"/>
      <c r="AG208" s="36"/>
      <c r="AH208" s="36"/>
      <c r="AI208" s="36"/>
      <c r="AJ208" s="36"/>
      <c r="AK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AF209" s="36"/>
      <c r="AG209" s="36"/>
      <c r="AH209" s="36"/>
      <c r="AI209" s="36"/>
      <c r="AJ209" s="36"/>
      <c r="AK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AF210" s="36"/>
      <c r="AG210" s="36"/>
      <c r="AH210" s="36"/>
      <c r="AI210" s="36"/>
      <c r="AJ210" s="36"/>
      <c r="AK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AF211" s="36"/>
      <c r="AG211" s="36"/>
      <c r="AH211" s="36"/>
      <c r="AI211" s="36"/>
      <c r="AJ211" s="36"/>
      <c r="AK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AF212" s="36"/>
      <c r="AG212" s="36"/>
      <c r="AH212" s="36"/>
      <c r="AI212" s="36"/>
      <c r="AJ212" s="36"/>
      <c r="AK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AF213" s="36"/>
      <c r="AG213" s="36"/>
      <c r="AH213" s="36"/>
      <c r="AI213" s="36"/>
      <c r="AJ213" s="36"/>
      <c r="AK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AF214" s="36"/>
      <c r="AG214" s="36"/>
      <c r="AH214" s="36"/>
      <c r="AI214" s="36"/>
      <c r="AJ214" s="36"/>
      <c r="AK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AF215" s="36"/>
      <c r="AG215" s="36"/>
      <c r="AH215" s="36"/>
      <c r="AI215" s="36"/>
      <c r="AJ215" s="36"/>
      <c r="AK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AF216" s="36"/>
      <c r="AG216" s="36"/>
      <c r="AH216" s="36"/>
      <c r="AI216" s="36"/>
      <c r="AJ216" s="36"/>
      <c r="AK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AF217" s="36"/>
      <c r="AG217" s="36"/>
      <c r="AH217" s="36"/>
      <c r="AI217" s="36"/>
      <c r="AJ217" s="36"/>
      <c r="AK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AF218" s="36"/>
      <c r="AG218" s="36"/>
      <c r="AH218" s="36"/>
      <c r="AI218" s="36"/>
      <c r="AJ218" s="36"/>
      <c r="AK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AF219" s="36"/>
      <c r="AG219" s="36"/>
      <c r="AH219" s="36"/>
      <c r="AI219" s="36"/>
      <c r="AJ219" s="36"/>
      <c r="AK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AF220" s="36"/>
      <c r="AG220" s="36"/>
      <c r="AH220" s="36"/>
      <c r="AI220" s="36"/>
      <c r="AJ220" s="36"/>
      <c r="AK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AF221" s="36"/>
      <c r="AG221" s="36"/>
      <c r="AH221" s="36"/>
      <c r="AI221" s="36"/>
      <c r="AJ221" s="36"/>
      <c r="AK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AF222" s="36"/>
      <c r="AG222" s="36"/>
      <c r="AH222" s="36"/>
      <c r="AI222" s="36"/>
      <c r="AJ222" s="36"/>
      <c r="AK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AF223" s="36"/>
      <c r="AG223" s="36"/>
      <c r="AH223" s="36"/>
      <c r="AI223" s="36"/>
      <c r="AJ223" s="36"/>
      <c r="AK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AF224" s="36"/>
      <c r="AG224" s="36"/>
      <c r="AH224" s="36"/>
      <c r="AI224" s="36"/>
      <c r="AJ224" s="36"/>
      <c r="AK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AF225" s="36"/>
      <c r="AG225" s="36"/>
      <c r="AH225" s="36"/>
      <c r="AI225" s="36"/>
      <c r="AJ225" s="36"/>
      <c r="AK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AF226" s="36"/>
      <c r="AG226" s="36"/>
      <c r="AH226" s="36"/>
      <c r="AI226" s="36"/>
      <c r="AJ226" s="36"/>
      <c r="AK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AF227" s="36"/>
      <c r="AG227" s="36"/>
      <c r="AH227" s="36"/>
      <c r="AI227" s="36"/>
      <c r="AJ227" s="36"/>
      <c r="AK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AF228" s="36"/>
      <c r="AG228" s="36"/>
      <c r="AH228" s="36"/>
      <c r="AI228" s="36"/>
      <c r="AJ228" s="36"/>
      <c r="AK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AF229" s="36"/>
      <c r="AG229" s="36"/>
      <c r="AH229" s="36"/>
      <c r="AI229" s="36"/>
      <c r="AJ229" s="36"/>
      <c r="AK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AF230" s="36"/>
      <c r="AG230" s="36"/>
      <c r="AH230" s="36"/>
      <c r="AI230" s="36"/>
      <c r="AJ230" s="36"/>
      <c r="AK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AF231" s="36"/>
      <c r="AG231" s="36"/>
      <c r="AH231" s="36"/>
      <c r="AI231" s="36"/>
      <c r="AJ231" s="36"/>
      <c r="AK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AF232" s="36"/>
      <c r="AG232" s="36"/>
      <c r="AH232" s="36"/>
      <c r="AI232" s="36"/>
      <c r="AJ232" s="36"/>
      <c r="AK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AF233" s="36"/>
      <c r="AG233" s="36"/>
      <c r="AH233" s="36"/>
      <c r="AI233" s="36"/>
      <c r="AJ233" s="36"/>
      <c r="AK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AF234" s="36"/>
      <c r="AG234" s="36"/>
      <c r="AH234" s="36"/>
      <c r="AI234" s="36"/>
      <c r="AJ234" s="36"/>
      <c r="AK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AF235" s="36"/>
      <c r="AG235" s="36"/>
      <c r="AH235" s="36"/>
      <c r="AI235" s="36"/>
      <c r="AJ235" s="36"/>
      <c r="AK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AF236" s="36"/>
      <c r="AG236" s="36"/>
      <c r="AH236" s="36"/>
      <c r="AI236" s="36"/>
      <c r="AJ236" s="36"/>
      <c r="AK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AF237" s="36"/>
      <c r="AG237" s="36"/>
      <c r="AH237" s="36"/>
      <c r="AI237" s="36"/>
      <c r="AJ237" s="36"/>
      <c r="AK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AF238" s="36"/>
      <c r="AG238" s="36"/>
      <c r="AH238" s="36"/>
      <c r="AI238" s="36"/>
      <c r="AJ238" s="36"/>
      <c r="AK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AF239" s="36"/>
      <c r="AG239" s="36"/>
      <c r="AH239" s="36"/>
      <c r="AI239" s="36"/>
      <c r="AJ239" s="36"/>
      <c r="AK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AF240" s="36"/>
      <c r="AG240" s="36"/>
      <c r="AH240" s="36"/>
      <c r="AI240" s="36"/>
      <c r="AJ240" s="36"/>
      <c r="AK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AF241" s="36"/>
      <c r="AG241" s="36"/>
      <c r="AH241" s="36"/>
      <c r="AI241" s="36"/>
      <c r="AJ241" s="36"/>
      <c r="AK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AF242" s="36"/>
      <c r="AG242" s="36"/>
      <c r="AH242" s="36"/>
      <c r="AI242" s="36"/>
      <c r="AJ242" s="36"/>
      <c r="AK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AF243" s="36"/>
      <c r="AG243" s="36"/>
      <c r="AH243" s="36"/>
      <c r="AI243" s="36"/>
      <c r="AJ243" s="36"/>
      <c r="AK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AF244" s="36"/>
      <c r="AG244" s="36"/>
      <c r="AH244" s="36"/>
      <c r="AI244" s="36"/>
      <c r="AJ244" s="36"/>
      <c r="AK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AF245" s="36"/>
      <c r="AG245" s="36"/>
      <c r="AH245" s="36"/>
      <c r="AI245" s="36"/>
      <c r="AJ245" s="36"/>
      <c r="AK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AF246" s="36"/>
      <c r="AG246" s="36"/>
      <c r="AH246" s="36"/>
      <c r="AI246" s="36"/>
      <c r="AJ246" s="36"/>
      <c r="AK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AF247" s="36"/>
      <c r="AG247" s="36"/>
      <c r="AH247" s="36"/>
      <c r="AI247" s="36"/>
      <c r="AJ247" s="36"/>
      <c r="AK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AF248" s="36"/>
      <c r="AG248" s="36"/>
      <c r="AH248" s="36"/>
      <c r="AI248" s="36"/>
      <c r="AJ248" s="36"/>
      <c r="AK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AF249" s="36"/>
      <c r="AG249" s="36"/>
      <c r="AH249" s="36"/>
      <c r="AI249" s="36"/>
      <c r="AJ249" s="36"/>
      <c r="AK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AF250" s="36"/>
      <c r="AG250" s="36"/>
      <c r="AH250" s="36"/>
      <c r="AI250" s="36"/>
      <c r="AJ250" s="36"/>
      <c r="AK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AF251" s="36"/>
      <c r="AG251" s="36"/>
      <c r="AH251" s="36"/>
      <c r="AI251" s="36"/>
      <c r="AJ251" s="36"/>
      <c r="AK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AF252" s="36"/>
      <c r="AG252" s="36"/>
      <c r="AH252" s="36"/>
      <c r="AI252" s="36"/>
      <c r="AJ252" s="36"/>
      <c r="AK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AF253" s="36"/>
      <c r="AG253" s="36"/>
      <c r="AH253" s="36"/>
      <c r="AI253" s="36"/>
      <c r="AJ253" s="36"/>
      <c r="AK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AF254" s="36"/>
      <c r="AG254" s="36"/>
      <c r="AH254" s="36"/>
      <c r="AI254" s="36"/>
      <c r="AJ254" s="36"/>
      <c r="AK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AF255" s="36"/>
      <c r="AG255" s="36"/>
      <c r="AH255" s="36"/>
      <c r="AI255" s="36"/>
      <c r="AJ255" s="36"/>
      <c r="AK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AF256" s="36"/>
      <c r="AG256" s="36"/>
      <c r="AH256" s="36"/>
      <c r="AI256" s="36"/>
      <c r="AJ256" s="36"/>
      <c r="AK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AF257" s="36"/>
      <c r="AG257" s="36"/>
      <c r="AH257" s="36"/>
      <c r="AI257" s="36"/>
      <c r="AJ257" s="36"/>
      <c r="AK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AF258" s="36"/>
      <c r="AG258" s="36"/>
      <c r="AH258" s="36"/>
      <c r="AI258" s="36"/>
      <c r="AJ258" s="36"/>
      <c r="AK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AF259" s="36"/>
      <c r="AG259" s="36"/>
      <c r="AH259" s="36"/>
      <c r="AI259" s="36"/>
      <c r="AJ259" s="36"/>
      <c r="AK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AF260" s="36"/>
      <c r="AG260" s="36"/>
      <c r="AH260" s="36"/>
      <c r="AI260" s="36"/>
      <c r="AJ260" s="36"/>
      <c r="AK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AF261" s="36"/>
      <c r="AG261" s="36"/>
      <c r="AH261" s="36"/>
      <c r="AI261" s="36"/>
      <c r="AJ261" s="36"/>
      <c r="AK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AF262" s="36"/>
      <c r="AG262" s="36"/>
      <c r="AH262" s="36"/>
      <c r="AI262" s="36"/>
      <c r="AJ262" s="36"/>
      <c r="AK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AF263" s="36"/>
      <c r="AG263" s="36"/>
      <c r="AH263" s="36"/>
      <c r="AI263" s="36"/>
      <c r="AJ263" s="36"/>
      <c r="AK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AF264" s="36"/>
      <c r="AG264" s="36"/>
      <c r="AH264" s="36"/>
      <c r="AI264" s="36"/>
      <c r="AJ264" s="36"/>
      <c r="AK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AF265" s="36"/>
      <c r="AG265" s="36"/>
      <c r="AH265" s="36"/>
      <c r="AI265" s="36"/>
      <c r="AJ265" s="36"/>
      <c r="AK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AF266" s="36"/>
      <c r="AG266" s="36"/>
      <c r="AH266" s="36"/>
      <c r="AI266" s="36"/>
      <c r="AJ266" s="36"/>
      <c r="AK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AF267" s="36"/>
      <c r="AG267" s="36"/>
      <c r="AH267" s="36"/>
      <c r="AI267" s="36"/>
      <c r="AJ267" s="36"/>
      <c r="AK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AF268" s="36"/>
      <c r="AG268" s="36"/>
      <c r="AH268" s="36"/>
      <c r="AI268" s="36"/>
      <c r="AJ268" s="36"/>
      <c r="AK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AF269" s="36"/>
      <c r="AG269" s="36"/>
      <c r="AH269" s="36"/>
      <c r="AI269" s="36"/>
      <c r="AJ269" s="36"/>
      <c r="AK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AF270" s="36"/>
      <c r="AG270" s="36"/>
      <c r="AH270" s="36"/>
      <c r="AI270" s="36"/>
      <c r="AJ270" s="36"/>
      <c r="AK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AF271" s="36"/>
      <c r="AG271" s="36"/>
      <c r="AH271" s="36"/>
      <c r="AI271" s="36"/>
      <c r="AJ271" s="36"/>
      <c r="AK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AF272" s="36"/>
      <c r="AG272" s="36"/>
      <c r="AH272" s="36"/>
      <c r="AI272" s="36"/>
      <c r="AJ272" s="36"/>
      <c r="AK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AF273" s="36"/>
      <c r="AG273" s="36"/>
      <c r="AH273" s="36"/>
      <c r="AI273" s="36"/>
      <c r="AJ273" s="36"/>
      <c r="AK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AF274" s="36"/>
      <c r="AG274" s="36"/>
      <c r="AH274" s="36"/>
      <c r="AI274" s="36"/>
      <c r="AJ274" s="36"/>
      <c r="AK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AF275" s="36"/>
      <c r="AG275" s="36"/>
      <c r="AH275" s="36"/>
      <c r="AI275" s="36"/>
      <c r="AJ275" s="36"/>
      <c r="AK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AF276" s="36"/>
      <c r="AG276" s="36"/>
      <c r="AH276" s="36"/>
      <c r="AI276" s="36"/>
      <c r="AJ276" s="36"/>
      <c r="AK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AF277" s="36"/>
      <c r="AG277" s="36"/>
      <c r="AH277" s="36"/>
      <c r="AI277" s="36"/>
      <c r="AJ277" s="36"/>
      <c r="AK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AF278" s="36"/>
      <c r="AG278" s="36"/>
      <c r="AH278" s="36"/>
      <c r="AI278" s="36"/>
      <c r="AJ278" s="36"/>
      <c r="AK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AF279" s="36"/>
      <c r="AG279" s="36"/>
      <c r="AH279" s="36"/>
      <c r="AI279" s="36"/>
      <c r="AJ279" s="36"/>
      <c r="AK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AF280" s="36"/>
      <c r="AG280" s="36"/>
      <c r="AH280" s="36"/>
      <c r="AI280" s="36"/>
      <c r="AJ280" s="36"/>
      <c r="AK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AF281" s="36"/>
      <c r="AG281" s="36"/>
      <c r="AH281" s="36"/>
      <c r="AI281" s="36"/>
      <c r="AJ281" s="36"/>
      <c r="AK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AF282" s="36"/>
      <c r="AG282" s="36"/>
      <c r="AH282" s="36"/>
      <c r="AI282" s="36"/>
      <c r="AJ282" s="36"/>
      <c r="AK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AF283" s="36"/>
      <c r="AG283" s="36"/>
      <c r="AH283" s="36"/>
      <c r="AI283" s="36"/>
      <c r="AJ283" s="36"/>
      <c r="AK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AF284" s="36"/>
      <c r="AG284" s="36"/>
      <c r="AH284" s="36"/>
      <c r="AI284" s="36"/>
      <c r="AJ284" s="36"/>
      <c r="AK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AF285" s="36"/>
      <c r="AG285" s="36"/>
      <c r="AH285" s="36"/>
      <c r="AI285" s="36"/>
      <c r="AJ285" s="36"/>
      <c r="AK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AF286" s="36"/>
      <c r="AG286" s="36"/>
      <c r="AH286" s="36"/>
      <c r="AI286" s="36"/>
      <c r="AJ286" s="36"/>
      <c r="AK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AF287" s="36"/>
      <c r="AG287" s="36"/>
      <c r="AH287" s="36"/>
      <c r="AI287" s="36"/>
      <c r="AJ287" s="36"/>
      <c r="AK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AF288" s="36"/>
      <c r="AG288" s="36"/>
      <c r="AH288" s="36"/>
      <c r="AI288" s="36"/>
      <c r="AJ288" s="36"/>
      <c r="AK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AF289" s="36"/>
      <c r="AG289" s="36"/>
      <c r="AH289" s="36"/>
      <c r="AI289" s="36"/>
      <c r="AJ289" s="36"/>
      <c r="AK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AF290" s="36"/>
      <c r="AG290" s="36"/>
      <c r="AH290" s="36"/>
      <c r="AI290" s="36"/>
      <c r="AJ290" s="36"/>
      <c r="AK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AF291" s="36"/>
      <c r="AG291" s="36"/>
      <c r="AH291" s="36"/>
      <c r="AI291" s="36"/>
      <c r="AJ291" s="36"/>
      <c r="AK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AF292" s="36"/>
      <c r="AG292" s="36"/>
      <c r="AH292" s="36"/>
      <c r="AI292" s="36"/>
      <c r="AJ292" s="36"/>
      <c r="AK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AF293" s="36"/>
      <c r="AG293" s="36"/>
      <c r="AH293" s="36"/>
      <c r="AI293" s="36"/>
      <c r="AJ293" s="36"/>
      <c r="AK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AF294" s="36"/>
      <c r="AG294" s="36"/>
      <c r="AH294" s="36"/>
      <c r="AI294" s="36"/>
      <c r="AJ294" s="36"/>
      <c r="AK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AF295" s="36"/>
      <c r="AG295" s="36"/>
      <c r="AH295" s="36"/>
      <c r="AI295" s="36"/>
      <c r="AJ295" s="36"/>
      <c r="AK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AF296" s="36"/>
      <c r="AG296" s="36"/>
      <c r="AH296" s="36"/>
      <c r="AI296" s="36"/>
      <c r="AJ296" s="36"/>
      <c r="AK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AF297" s="36"/>
      <c r="AG297" s="36"/>
      <c r="AH297" s="36"/>
      <c r="AI297" s="36"/>
      <c r="AJ297" s="36"/>
      <c r="AK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AF298" s="36"/>
      <c r="AG298" s="36"/>
      <c r="AH298" s="36"/>
      <c r="AI298" s="36"/>
      <c r="AJ298" s="36"/>
      <c r="AK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AF299" s="36"/>
      <c r="AG299" s="36"/>
      <c r="AH299" s="36"/>
      <c r="AI299" s="36"/>
      <c r="AJ299" s="36"/>
      <c r="AK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AF300" s="36"/>
      <c r="AG300" s="36"/>
      <c r="AH300" s="36"/>
      <c r="AI300" s="36"/>
      <c r="AJ300" s="36"/>
      <c r="AK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AF301" s="36"/>
      <c r="AG301" s="36"/>
      <c r="AH301" s="36"/>
      <c r="AI301" s="36"/>
      <c r="AJ301" s="36"/>
      <c r="AK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AF302" s="36"/>
      <c r="AG302" s="36"/>
      <c r="AH302" s="36"/>
      <c r="AI302" s="36"/>
      <c r="AJ302" s="36"/>
      <c r="AK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AF303" s="36"/>
      <c r="AG303" s="36"/>
      <c r="AH303" s="36"/>
      <c r="AI303" s="36"/>
      <c r="AJ303" s="36"/>
      <c r="AK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AF304" s="36"/>
      <c r="AG304" s="36"/>
      <c r="AH304" s="36"/>
      <c r="AI304" s="36"/>
      <c r="AJ304" s="36"/>
      <c r="AK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AF305" s="36"/>
      <c r="AG305" s="36"/>
      <c r="AH305" s="36"/>
      <c r="AI305" s="36"/>
      <c r="AJ305" s="36"/>
      <c r="AK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AF306" s="36"/>
      <c r="AG306" s="36"/>
      <c r="AH306" s="36"/>
      <c r="AI306" s="36"/>
      <c r="AJ306" s="36"/>
      <c r="AK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AF307" s="36"/>
      <c r="AG307" s="36"/>
      <c r="AH307" s="36"/>
      <c r="AI307" s="36"/>
      <c r="AJ307" s="36"/>
      <c r="AK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AF308" s="36"/>
      <c r="AG308" s="36"/>
      <c r="AH308" s="36"/>
      <c r="AI308" s="36"/>
      <c r="AJ308" s="36"/>
      <c r="AK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AF309" s="36"/>
      <c r="AG309" s="36"/>
      <c r="AH309" s="36"/>
      <c r="AI309" s="36"/>
      <c r="AJ309" s="36"/>
      <c r="AK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AF310" s="36"/>
      <c r="AG310" s="36"/>
      <c r="AH310" s="36"/>
      <c r="AI310" s="36"/>
      <c r="AJ310" s="36"/>
      <c r="AK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AF311" s="36"/>
      <c r="AG311" s="36"/>
      <c r="AH311" s="36"/>
      <c r="AI311" s="36"/>
      <c r="AJ311" s="36"/>
      <c r="AK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AF312" s="36"/>
      <c r="AG312" s="36"/>
      <c r="AH312" s="36"/>
      <c r="AI312" s="36"/>
      <c r="AJ312" s="36"/>
      <c r="AK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AF313" s="36"/>
      <c r="AG313" s="36"/>
      <c r="AH313" s="36"/>
      <c r="AI313" s="36"/>
      <c r="AJ313" s="36"/>
      <c r="AK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AF314" s="36"/>
      <c r="AG314" s="36"/>
      <c r="AH314" s="36"/>
      <c r="AI314" s="36"/>
      <c r="AJ314" s="36"/>
      <c r="AK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AF315" s="36"/>
      <c r="AG315" s="36"/>
      <c r="AH315" s="36"/>
      <c r="AI315" s="36"/>
      <c r="AJ315" s="36"/>
      <c r="AK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AF316" s="36"/>
      <c r="AG316" s="36"/>
      <c r="AH316" s="36"/>
      <c r="AI316" s="36"/>
      <c r="AJ316" s="36"/>
      <c r="AK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AF317" s="36"/>
      <c r="AG317" s="36"/>
      <c r="AH317" s="36"/>
      <c r="AI317" s="36"/>
      <c r="AJ317" s="36"/>
      <c r="AK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AF318" s="36"/>
      <c r="AG318" s="36"/>
      <c r="AH318" s="36"/>
      <c r="AI318" s="36"/>
      <c r="AJ318" s="36"/>
      <c r="AK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AF319" s="36"/>
      <c r="AG319" s="36"/>
      <c r="AH319" s="36"/>
      <c r="AI319" s="36"/>
      <c r="AJ319" s="36"/>
      <c r="AK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AF320" s="36"/>
      <c r="AG320" s="36"/>
      <c r="AH320" s="36"/>
      <c r="AI320" s="36"/>
      <c r="AJ320" s="36"/>
      <c r="AK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AF321" s="36"/>
      <c r="AG321" s="36"/>
      <c r="AH321" s="36"/>
      <c r="AI321" s="36"/>
      <c r="AJ321" s="36"/>
      <c r="AK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AF322" s="36"/>
      <c r="AG322" s="36"/>
      <c r="AH322" s="36"/>
      <c r="AI322" s="36"/>
      <c r="AJ322" s="36"/>
      <c r="AK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AF323" s="36"/>
      <c r="AG323" s="36"/>
      <c r="AH323" s="36"/>
      <c r="AI323" s="36"/>
      <c r="AJ323" s="36"/>
      <c r="AK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AF324" s="36"/>
      <c r="AG324" s="36"/>
      <c r="AH324" s="36"/>
      <c r="AI324" s="36"/>
      <c r="AJ324" s="36"/>
      <c r="AK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AF325" s="36"/>
      <c r="AG325" s="36"/>
      <c r="AH325" s="36"/>
      <c r="AI325" s="36"/>
      <c r="AJ325" s="36"/>
      <c r="AK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AF326" s="36"/>
      <c r="AG326" s="36"/>
      <c r="AH326" s="36"/>
      <c r="AI326" s="36"/>
      <c r="AJ326" s="36"/>
      <c r="AK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AF327" s="36"/>
      <c r="AG327" s="36"/>
      <c r="AH327" s="36"/>
      <c r="AI327" s="36"/>
      <c r="AJ327" s="36"/>
      <c r="AK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AF328" s="36"/>
      <c r="AG328" s="36"/>
      <c r="AH328" s="36"/>
      <c r="AI328" s="36"/>
      <c r="AJ328" s="36"/>
      <c r="AK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AF329" s="36"/>
      <c r="AG329" s="36"/>
      <c r="AH329" s="36"/>
      <c r="AI329" s="36"/>
      <c r="AJ329" s="36"/>
      <c r="AK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AF330" s="36"/>
      <c r="AG330" s="36"/>
      <c r="AH330" s="36"/>
      <c r="AI330" s="36"/>
      <c r="AJ330" s="36"/>
      <c r="AK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AF331" s="36"/>
      <c r="AG331" s="36"/>
      <c r="AH331" s="36"/>
      <c r="AI331" s="36"/>
      <c r="AJ331" s="36"/>
      <c r="AK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AF332" s="36"/>
      <c r="AG332" s="36"/>
      <c r="AH332" s="36"/>
      <c r="AI332" s="36"/>
      <c r="AJ332" s="36"/>
      <c r="AK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AF333" s="36"/>
      <c r="AG333" s="36"/>
      <c r="AH333" s="36"/>
      <c r="AI333" s="36"/>
      <c r="AJ333" s="36"/>
      <c r="AK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AF334" s="36"/>
      <c r="AG334" s="36"/>
      <c r="AH334" s="36"/>
      <c r="AI334" s="36"/>
      <c r="AJ334" s="36"/>
      <c r="AK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AF335" s="36"/>
      <c r="AG335" s="36"/>
      <c r="AH335" s="36"/>
      <c r="AI335" s="36"/>
      <c r="AJ335" s="36"/>
      <c r="AK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AF336" s="36"/>
      <c r="AG336" s="36"/>
      <c r="AH336" s="36"/>
      <c r="AI336" s="36"/>
      <c r="AJ336" s="36"/>
      <c r="AK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AF337" s="36"/>
      <c r="AG337" s="36"/>
      <c r="AH337" s="36"/>
      <c r="AI337" s="36"/>
      <c r="AJ337" s="36"/>
      <c r="AK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AF338" s="36"/>
      <c r="AG338" s="36"/>
      <c r="AH338" s="36"/>
      <c r="AI338" s="36"/>
      <c r="AJ338" s="36"/>
      <c r="AK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AF339" s="36"/>
      <c r="AG339" s="36"/>
      <c r="AH339" s="36"/>
      <c r="AI339" s="36"/>
      <c r="AJ339" s="36"/>
      <c r="AK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AF340" s="36"/>
      <c r="AG340" s="36"/>
      <c r="AH340" s="36"/>
      <c r="AI340" s="36"/>
      <c r="AJ340" s="36"/>
      <c r="AK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AF341" s="36"/>
      <c r="AG341" s="36"/>
      <c r="AH341" s="36"/>
      <c r="AI341" s="36"/>
      <c r="AJ341" s="36"/>
      <c r="AK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AF342" s="36"/>
      <c r="AG342" s="36"/>
      <c r="AH342" s="36"/>
      <c r="AI342" s="36"/>
      <c r="AJ342" s="36"/>
      <c r="AK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AF343" s="36"/>
      <c r="AG343" s="36"/>
      <c r="AH343" s="36"/>
      <c r="AI343" s="36"/>
      <c r="AJ343" s="36"/>
      <c r="AK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AF344" s="36"/>
      <c r="AG344" s="36"/>
      <c r="AH344" s="36"/>
      <c r="AI344" s="36"/>
      <c r="AJ344" s="36"/>
      <c r="AK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AF345" s="36"/>
      <c r="AG345" s="36"/>
      <c r="AH345" s="36"/>
      <c r="AI345" s="36"/>
      <c r="AJ345" s="36"/>
      <c r="AK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AF346" s="36"/>
      <c r="AG346" s="36"/>
      <c r="AH346" s="36"/>
      <c r="AI346" s="36"/>
      <c r="AJ346" s="36"/>
      <c r="AK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AF347" s="36"/>
      <c r="AG347" s="36"/>
      <c r="AH347" s="36"/>
      <c r="AI347" s="36"/>
      <c r="AJ347" s="36"/>
      <c r="AK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AF348" s="36"/>
      <c r="AG348" s="36"/>
      <c r="AH348" s="36"/>
      <c r="AI348" s="36"/>
      <c r="AJ348" s="36"/>
      <c r="AK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AF349" s="36"/>
      <c r="AG349" s="36"/>
      <c r="AH349" s="36"/>
      <c r="AI349" s="36"/>
      <c r="AJ349" s="36"/>
      <c r="AK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AF350" s="36"/>
      <c r="AG350" s="36"/>
      <c r="AH350" s="36"/>
      <c r="AI350" s="36"/>
      <c r="AJ350" s="36"/>
      <c r="AK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AF351" s="36"/>
      <c r="AG351" s="36"/>
      <c r="AH351" s="36"/>
      <c r="AI351" s="36"/>
      <c r="AJ351" s="36"/>
      <c r="AK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AF352" s="36"/>
      <c r="AG352" s="36"/>
      <c r="AH352" s="36"/>
      <c r="AI352" s="36"/>
      <c r="AJ352" s="36"/>
      <c r="AK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AF353" s="36"/>
      <c r="AG353" s="36"/>
      <c r="AH353" s="36"/>
      <c r="AI353" s="36"/>
      <c r="AJ353" s="36"/>
      <c r="AK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AF354" s="36"/>
      <c r="AG354" s="36"/>
      <c r="AH354" s="36"/>
      <c r="AI354" s="36"/>
      <c r="AJ354" s="36"/>
      <c r="AK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AF355" s="36"/>
      <c r="AG355" s="36"/>
      <c r="AH355" s="36"/>
      <c r="AI355" s="36"/>
      <c r="AJ355" s="36"/>
      <c r="AK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AF356" s="36"/>
      <c r="AG356" s="36"/>
      <c r="AH356" s="36"/>
      <c r="AI356" s="36"/>
      <c r="AJ356" s="36"/>
      <c r="AK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AF357" s="36"/>
      <c r="AG357" s="36"/>
      <c r="AH357" s="36"/>
      <c r="AI357" s="36"/>
      <c r="AJ357" s="36"/>
      <c r="AK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AF358" s="36"/>
      <c r="AG358" s="36"/>
      <c r="AH358" s="36"/>
      <c r="AI358" s="36"/>
      <c r="AJ358" s="36"/>
      <c r="AK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AF359" s="36"/>
      <c r="AG359" s="36"/>
      <c r="AH359" s="36"/>
      <c r="AI359" s="36"/>
      <c r="AJ359" s="36"/>
      <c r="AK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AF360" s="36"/>
      <c r="AG360" s="36"/>
      <c r="AH360" s="36"/>
      <c r="AI360" s="36"/>
      <c r="AJ360" s="36"/>
      <c r="AK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AF361" s="36"/>
      <c r="AG361" s="36"/>
      <c r="AH361" s="36"/>
      <c r="AI361" s="36"/>
      <c r="AJ361" s="36"/>
      <c r="AK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AF362" s="36"/>
      <c r="AG362" s="36"/>
      <c r="AH362" s="36"/>
      <c r="AI362" s="36"/>
      <c r="AJ362" s="36"/>
      <c r="AK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AF363" s="36"/>
      <c r="AG363" s="36"/>
      <c r="AH363" s="36"/>
      <c r="AI363" s="36"/>
      <c r="AJ363" s="36"/>
      <c r="AK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AF364" s="36"/>
      <c r="AG364" s="36"/>
      <c r="AH364" s="36"/>
      <c r="AI364" s="36"/>
      <c r="AJ364" s="36"/>
      <c r="AK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AF365" s="36"/>
      <c r="AG365" s="36"/>
      <c r="AH365" s="36"/>
      <c r="AI365" s="36"/>
      <c r="AJ365" s="36"/>
      <c r="AK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AF366" s="36"/>
      <c r="AG366" s="36"/>
      <c r="AH366" s="36"/>
      <c r="AI366" s="36"/>
      <c r="AJ366" s="36"/>
      <c r="AK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AF367" s="36"/>
      <c r="AG367" s="36"/>
      <c r="AH367" s="36"/>
      <c r="AI367" s="36"/>
      <c r="AJ367" s="36"/>
      <c r="AK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AF368" s="36"/>
      <c r="AG368" s="36"/>
      <c r="AH368" s="36"/>
      <c r="AI368" s="36"/>
      <c r="AJ368" s="36"/>
      <c r="AK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AF369" s="36"/>
      <c r="AG369" s="36"/>
      <c r="AH369" s="36"/>
      <c r="AI369" s="36"/>
      <c r="AJ369" s="36"/>
      <c r="AK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AF370" s="36"/>
      <c r="AG370" s="36"/>
      <c r="AH370" s="36"/>
      <c r="AI370" s="36"/>
      <c r="AJ370" s="36"/>
      <c r="AK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AF371" s="36"/>
      <c r="AG371" s="36"/>
      <c r="AH371" s="36"/>
      <c r="AI371" s="36"/>
      <c r="AJ371" s="36"/>
      <c r="AK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AF372" s="36"/>
      <c r="AG372" s="36"/>
      <c r="AH372" s="36"/>
      <c r="AI372" s="36"/>
      <c r="AJ372" s="36"/>
      <c r="AK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AF373" s="36"/>
      <c r="AG373" s="36"/>
      <c r="AH373" s="36"/>
      <c r="AI373" s="36"/>
      <c r="AJ373" s="36"/>
      <c r="AK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AF374" s="36"/>
      <c r="AG374" s="36"/>
      <c r="AH374" s="36"/>
      <c r="AI374" s="36"/>
      <c r="AJ374" s="36"/>
      <c r="AK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AF375" s="36"/>
      <c r="AG375" s="36"/>
      <c r="AH375" s="36"/>
      <c r="AI375" s="36"/>
      <c r="AJ375" s="36"/>
      <c r="AK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AF376" s="36"/>
      <c r="AG376" s="36"/>
      <c r="AH376" s="36"/>
      <c r="AI376" s="36"/>
      <c r="AJ376" s="36"/>
      <c r="AK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AF377" s="36"/>
      <c r="AG377" s="36"/>
      <c r="AH377" s="36"/>
      <c r="AI377" s="36"/>
      <c r="AJ377" s="36"/>
      <c r="AK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AF378" s="36"/>
      <c r="AG378" s="36"/>
      <c r="AH378" s="36"/>
      <c r="AI378" s="36"/>
      <c r="AJ378" s="36"/>
      <c r="AK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AF379" s="36"/>
      <c r="AG379" s="36"/>
      <c r="AH379" s="36"/>
      <c r="AI379" s="36"/>
      <c r="AJ379" s="36"/>
      <c r="AK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AF380" s="36"/>
      <c r="AG380" s="36"/>
      <c r="AH380" s="36"/>
      <c r="AI380" s="36"/>
      <c r="AJ380" s="36"/>
      <c r="AK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AF381" s="36"/>
      <c r="AG381" s="36"/>
      <c r="AH381" s="36"/>
      <c r="AI381" s="36"/>
      <c r="AJ381" s="36"/>
      <c r="AK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AF382" s="36"/>
      <c r="AG382" s="36"/>
      <c r="AH382" s="36"/>
      <c r="AI382" s="36"/>
      <c r="AJ382" s="36"/>
      <c r="AK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AF383" s="36"/>
      <c r="AG383" s="36"/>
      <c r="AH383" s="36"/>
      <c r="AI383" s="36"/>
      <c r="AJ383" s="36"/>
      <c r="AK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AF384" s="36"/>
      <c r="AG384" s="36"/>
      <c r="AH384" s="36"/>
      <c r="AI384" s="36"/>
      <c r="AJ384" s="36"/>
      <c r="AK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AF385" s="36"/>
      <c r="AG385" s="36"/>
      <c r="AH385" s="36"/>
      <c r="AI385" s="36"/>
      <c r="AJ385" s="36"/>
      <c r="AK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AF386" s="36"/>
      <c r="AG386" s="36"/>
      <c r="AH386" s="36"/>
      <c r="AI386" s="36"/>
      <c r="AJ386" s="36"/>
      <c r="AK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AF387" s="36"/>
      <c r="AG387" s="36"/>
      <c r="AH387" s="36"/>
      <c r="AI387" s="36"/>
      <c r="AJ387" s="36"/>
      <c r="AK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AF388" s="36"/>
      <c r="AG388" s="36"/>
      <c r="AH388" s="36"/>
      <c r="AI388" s="36"/>
      <c r="AJ388" s="36"/>
      <c r="AK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AF389" s="36"/>
      <c r="AG389" s="36"/>
      <c r="AH389" s="36"/>
      <c r="AI389" s="36"/>
      <c r="AJ389" s="36"/>
      <c r="AK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AF390" s="36"/>
      <c r="AG390" s="36"/>
      <c r="AH390" s="36"/>
      <c r="AI390" s="36"/>
      <c r="AJ390" s="36"/>
      <c r="AK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AF391" s="36"/>
      <c r="AG391" s="36"/>
      <c r="AH391" s="36"/>
      <c r="AI391" s="36"/>
      <c r="AJ391" s="36"/>
      <c r="AK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AF392" s="36"/>
      <c r="AG392" s="36"/>
      <c r="AH392" s="36"/>
      <c r="AI392" s="36"/>
      <c r="AJ392" s="36"/>
      <c r="AK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AF393" s="36"/>
      <c r="AG393" s="36"/>
      <c r="AH393" s="36"/>
      <c r="AI393" s="36"/>
      <c r="AJ393" s="36"/>
      <c r="AK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AF394" s="36"/>
      <c r="AG394" s="36"/>
      <c r="AH394" s="36"/>
      <c r="AI394" s="36"/>
      <c r="AJ394" s="36"/>
      <c r="AK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AF395" s="36"/>
      <c r="AG395" s="36"/>
      <c r="AH395" s="36"/>
      <c r="AI395" s="36"/>
      <c r="AJ395" s="36"/>
      <c r="AK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AF396" s="36"/>
      <c r="AG396" s="36"/>
      <c r="AH396" s="36"/>
      <c r="AI396" s="36"/>
      <c r="AJ396" s="36"/>
      <c r="AK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AF397" s="36"/>
      <c r="AG397" s="36"/>
      <c r="AH397" s="36"/>
      <c r="AI397" s="36"/>
      <c r="AJ397" s="36"/>
      <c r="AK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AF398" s="36"/>
      <c r="AG398" s="36"/>
      <c r="AH398" s="36"/>
      <c r="AI398" s="36"/>
      <c r="AJ398" s="36"/>
      <c r="AK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AF399" s="36"/>
      <c r="AG399" s="36"/>
      <c r="AH399" s="36"/>
      <c r="AI399" s="36"/>
      <c r="AJ399" s="36"/>
      <c r="AK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AF400" s="36"/>
      <c r="AG400" s="36"/>
      <c r="AH400" s="36"/>
      <c r="AI400" s="36"/>
      <c r="AJ400" s="36"/>
      <c r="AK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AF401" s="36"/>
      <c r="AG401" s="36"/>
      <c r="AH401" s="36"/>
      <c r="AI401" s="36"/>
      <c r="AJ401" s="36"/>
      <c r="AK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AF402" s="36"/>
      <c r="AG402" s="36"/>
      <c r="AH402" s="36"/>
      <c r="AI402" s="36"/>
      <c r="AJ402" s="36"/>
      <c r="AK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AF403" s="36"/>
      <c r="AG403" s="36"/>
      <c r="AH403" s="36"/>
      <c r="AI403" s="36"/>
      <c r="AJ403" s="36"/>
      <c r="AK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AF404" s="36"/>
      <c r="AG404" s="36"/>
      <c r="AH404" s="36"/>
      <c r="AI404" s="36"/>
      <c r="AJ404" s="36"/>
      <c r="AK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AF405" s="36"/>
      <c r="AG405" s="36"/>
      <c r="AH405" s="36"/>
      <c r="AI405" s="36"/>
      <c r="AJ405" s="36"/>
      <c r="AK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AF406" s="36"/>
      <c r="AG406" s="36"/>
      <c r="AH406" s="36"/>
      <c r="AI406" s="36"/>
      <c r="AJ406" s="36"/>
      <c r="AK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AF407" s="36"/>
      <c r="AG407" s="36"/>
      <c r="AH407" s="36"/>
      <c r="AI407" s="36"/>
      <c r="AJ407" s="36"/>
      <c r="AK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AF408" s="36"/>
      <c r="AG408" s="36"/>
      <c r="AH408" s="36"/>
      <c r="AI408" s="36"/>
      <c r="AJ408" s="36"/>
      <c r="AK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AF409" s="36"/>
      <c r="AG409" s="36"/>
      <c r="AH409" s="36"/>
      <c r="AI409" s="36"/>
      <c r="AJ409" s="36"/>
      <c r="AK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AF410" s="36"/>
      <c r="AG410" s="36"/>
      <c r="AH410" s="36"/>
      <c r="AI410" s="36"/>
      <c r="AJ410" s="36"/>
      <c r="AK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AF411" s="36"/>
      <c r="AG411" s="36"/>
      <c r="AH411" s="36"/>
      <c r="AI411" s="36"/>
      <c r="AJ411" s="36"/>
      <c r="AK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AF412" s="36"/>
      <c r="AG412" s="36"/>
      <c r="AH412" s="36"/>
      <c r="AI412" s="36"/>
      <c r="AJ412" s="36"/>
      <c r="AK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AF413" s="36"/>
      <c r="AG413" s="36"/>
      <c r="AH413" s="36"/>
      <c r="AI413" s="36"/>
      <c r="AJ413" s="36"/>
      <c r="AK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AF414" s="36"/>
      <c r="AG414" s="36"/>
      <c r="AH414" s="36"/>
      <c r="AI414" s="36"/>
      <c r="AJ414" s="36"/>
      <c r="AK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AF415" s="36"/>
      <c r="AG415" s="36"/>
      <c r="AH415" s="36"/>
      <c r="AI415" s="36"/>
      <c r="AJ415" s="36"/>
      <c r="AK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AF416" s="36"/>
      <c r="AG416" s="36"/>
      <c r="AH416" s="36"/>
      <c r="AI416" s="36"/>
      <c r="AJ416" s="36"/>
      <c r="AK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AF417" s="36"/>
      <c r="AG417" s="36"/>
      <c r="AH417" s="36"/>
      <c r="AI417" s="36"/>
      <c r="AJ417" s="36"/>
      <c r="AK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AF418" s="36"/>
      <c r="AG418" s="36"/>
      <c r="AH418" s="36"/>
      <c r="AI418" s="36"/>
      <c r="AJ418" s="36"/>
      <c r="AK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AF419" s="36"/>
      <c r="AG419" s="36"/>
      <c r="AH419" s="36"/>
      <c r="AI419" s="36"/>
      <c r="AJ419" s="36"/>
      <c r="AK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AF420" s="36"/>
      <c r="AG420" s="36"/>
      <c r="AH420" s="36"/>
      <c r="AI420" s="36"/>
      <c r="AJ420" s="36"/>
      <c r="AK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AF421" s="36"/>
      <c r="AG421" s="36"/>
      <c r="AH421" s="36"/>
      <c r="AI421" s="36"/>
      <c r="AJ421" s="36"/>
      <c r="AK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AF422" s="36"/>
      <c r="AG422" s="36"/>
      <c r="AH422" s="36"/>
      <c r="AI422" s="36"/>
      <c r="AJ422" s="36"/>
      <c r="AK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AF423" s="36"/>
      <c r="AG423" s="36"/>
      <c r="AH423" s="36"/>
      <c r="AI423" s="36"/>
      <c r="AJ423" s="36"/>
      <c r="AK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AF424" s="36"/>
      <c r="AG424" s="36"/>
      <c r="AH424" s="36"/>
      <c r="AI424" s="36"/>
      <c r="AJ424" s="36"/>
      <c r="AK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AF425" s="36"/>
      <c r="AG425" s="36"/>
      <c r="AH425" s="36"/>
      <c r="AI425" s="36"/>
      <c r="AJ425" s="36"/>
      <c r="AK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AF426" s="36"/>
      <c r="AG426" s="36"/>
      <c r="AH426" s="36"/>
      <c r="AI426" s="36"/>
      <c r="AJ426" s="36"/>
      <c r="AK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AF427" s="36"/>
      <c r="AG427" s="36"/>
      <c r="AH427" s="36"/>
      <c r="AI427" s="36"/>
      <c r="AJ427" s="36"/>
      <c r="AK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AF428" s="36"/>
      <c r="AG428" s="36"/>
      <c r="AH428" s="36"/>
      <c r="AI428" s="36"/>
      <c r="AJ428" s="36"/>
      <c r="AK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AF429" s="36"/>
      <c r="AG429" s="36"/>
      <c r="AH429" s="36"/>
      <c r="AI429" s="36"/>
      <c r="AJ429" s="36"/>
      <c r="AK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AF430" s="36"/>
      <c r="AG430" s="36"/>
      <c r="AH430" s="36"/>
      <c r="AI430" s="36"/>
      <c r="AJ430" s="36"/>
      <c r="AK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AF431" s="36"/>
      <c r="AG431" s="36"/>
      <c r="AH431" s="36"/>
      <c r="AI431" s="36"/>
      <c r="AJ431" s="36"/>
      <c r="AK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AF432" s="36"/>
      <c r="AG432" s="36"/>
      <c r="AH432" s="36"/>
      <c r="AI432" s="36"/>
      <c r="AJ432" s="36"/>
      <c r="AK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AF433" s="36"/>
      <c r="AG433" s="36"/>
      <c r="AH433" s="36"/>
      <c r="AI433" s="36"/>
      <c r="AJ433" s="36"/>
      <c r="AK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AF434" s="36"/>
      <c r="AG434" s="36"/>
      <c r="AH434" s="36"/>
      <c r="AI434" s="36"/>
      <c r="AJ434" s="36"/>
      <c r="AK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AF435" s="36"/>
      <c r="AG435" s="36"/>
      <c r="AH435" s="36"/>
      <c r="AI435" s="36"/>
      <c r="AJ435" s="36"/>
      <c r="AK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AF436" s="36"/>
      <c r="AG436" s="36"/>
      <c r="AH436" s="36"/>
      <c r="AI436" s="36"/>
      <c r="AJ436" s="36"/>
      <c r="AK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AF437" s="36"/>
      <c r="AG437" s="36"/>
      <c r="AH437" s="36"/>
      <c r="AI437" s="36"/>
      <c r="AJ437" s="36"/>
      <c r="AK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AF438" s="36"/>
      <c r="AG438" s="36"/>
      <c r="AH438" s="36"/>
      <c r="AI438" s="36"/>
      <c r="AJ438" s="36"/>
      <c r="AK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AF439" s="36"/>
      <c r="AG439" s="36"/>
      <c r="AH439" s="36"/>
      <c r="AI439" s="36"/>
      <c r="AJ439" s="36"/>
      <c r="AK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AF440" s="36"/>
      <c r="AG440" s="36"/>
      <c r="AH440" s="36"/>
      <c r="AI440" s="36"/>
      <c r="AJ440" s="36"/>
      <c r="AK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AF441" s="36"/>
      <c r="AG441" s="36"/>
      <c r="AH441" s="36"/>
      <c r="AI441" s="36"/>
      <c r="AJ441" s="36"/>
      <c r="AK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AF442" s="36"/>
      <c r="AG442" s="36"/>
      <c r="AH442" s="36"/>
      <c r="AI442" s="36"/>
      <c r="AJ442" s="36"/>
      <c r="AK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AF443" s="36"/>
      <c r="AG443" s="36"/>
      <c r="AH443" s="36"/>
      <c r="AI443" s="36"/>
      <c r="AJ443" s="36"/>
      <c r="AK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AF444" s="36"/>
      <c r="AG444" s="36"/>
      <c r="AH444" s="36"/>
      <c r="AI444" s="36"/>
      <c r="AJ444" s="36"/>
      <c r="AK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AF445" s="36"/>
      <c r="AG445" s="36"/>
      <c r="AH445" s="36"/>
      <c r="AI445" s="36"/>
      <c r="AJ445" s="36"/>
      <c r="AK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AF446" s="36"/>
      <c r="AG446" s="36"/>
      <c r="AH446" s="36"/>
      <c r="AI446" s="36"/>
      <c r="AJ446" s="36"/>
      <c r="AK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AF447" s="36"/>
      <c r="AG447" s="36"/>
      <c r="AH447" s="36"/>
      <c r="AI447" s="36"/>
      <c r="AJ447" s="36"/>
      <c r="AK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AF448" s="36"/>
      <c r="AG448" s="36"/>
      <c r="AH448" s="36"/>
      <c r="AI448" s="36"/>
      <c r="AJ448" s="36"/>
      <c r="AK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AF449" s="36"/>
      <c r="AG449" s="36"/>
      <c r="AH449" s="36"/>
      <c r="AI449" s="36"/>
      <c r="AJ449" s="36"/>
      <c r="AK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AF450" s="36"/>
      <c r="AG450" s="36"/>
      <c r="AH450" s="36"/>
      <c r="AI450" s="36"/>
      <c r="AJ450" s="36"/>
      <c r="AK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AF451" s="36"/>
      <c r="AG451" s="36"/>
      <c r="AH451" s="36"/>
      <c r="AI451" s="36"/>
      <c r="AJ451" s="36"/>
      <c r="AK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AF452" s="36"/>
      <c r="AG452" s="36"/>
      <c r="AH452" s="36"/>
      <c r="AI452" s="36"/>
      <c r="AJ452" s="36"/>
      <c r="AK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AF453" s="36"/>
      <c r="AG453" s="36"/>
      <c r="AH453" s="36"/>
      <c r="AI453" s="36"/>
      <c r="AJ453" s="36"/>
      <c r="AK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AF454" s="36"/>
      <c r="AG454" s="36"/>
      <c r="AH454" s="36"/>
      <c r="AI454" s="36"/>
      <c r="AJ454" s="36"/>
      <c r="AK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AF455" s="36"/>
      <c r="AG455" s="36"/>
      <c r="AH455" s="36"/>
      <c r="AI455" s="36"/>
      <c r="AJ455" s="36"/>
      <c r="AK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AF456" s="36"/>
      <c r="AG456" s="36"/>
      <c r="AH456" s="36"/>
      <c r="AI456" s="36"/>
      <c r="AJ456" s="36"/>
      <c r="AK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AF457" s="36"/>
      <c r="AG457" s="36"/>
      <c r="AH457" s="36"/>
      <c r="AI457" s="36"/>
      <c r="AJ457" s="36"/>
      <c r="AK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AF458" s="36"/>
      <c r="AG458" s="36"/>
      <c r="AH458" s="36"/>
      <c r="AI458" s="36"/>
      <c r="AJ458" s="36"/>
      <c r="AK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AF459" s="36"/>
      <c r="AG459" s="36"/>
      <c r="AH459" s="36"/>
      <c r="AI459" s="36"/>
      <c r="AJ459" s="36"/>
      <c r="AK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AF460" s="36"/>
      <c r="AG460" s="36"/>
      <c r="AH460" s="36"/>
      <c r="AI460" s="36"/>
      <c r="AJ460" s="36"/>
      <c r="AK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AF461" s="36"/>
      <c r="AG461" s="36"/>
      <c r="AH461" s="36"/>
      <c r="AI461" s="36"/>
      <c r="AJ461" s="36"/>
      <c r="AK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AF462" s="36"/>
      <c r="AG462" s="36"/>
      <c r="AH462" s="36"/>
      <c r="AI462" s="36"/>
      <c r="AJ462" s="36"/>
      <c r="AK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AF463" s="36"/>
      <c r="AG463" s="36"/>
      <c r="AH463" s="36"/>
      <c r="AI463" s="36"/>
      <c r="AJ463" s="36"/>
      <c r="AK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AF464" s="36"/>
      <c r="AG464" s="36"/>
      <c r="AH464" s="36"/>
      <c r="AI464" s="36"/>
      <c r="AJ464" s="36"/>
      <c r="AK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AF465" s="36"/>
      <c r="AG465" s="36"/>
      <c r="AH465" s="36"/>
      <c r="AI465" s="36"/>
      <c r="AJ465" s="36"/>
      <c r="AK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AF466" s="36"/>
      <c r="AG466" s="36"/>
      <c r="AH466" s="36"/>
      <c r="AI466" s="36"/>
      <c r="AJ466" s="36"/>
      <c r="AK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AF467" s="36"/>
      <c r="AG467" s="36"/>
      <c r="AH467" s="36"/>
      <c r="AI467" s="36"/>
      <c r="AJ467" s="36"/>
      <c r="AK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AF468" s="36"/>
      <c r="AG468" s="36"/>
      <c r="AH468" s="36"/>
      <c r="AI468" s="36"/>
      <c r="AJ468" s="36"/>
      <c r="AK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AF469" s="36"/>
      <c r="AG469" s="36"/>
      <c r="AH469" s="36"/>
      <c r="AI469" s="36"/>
      <c r="AJ469" s="36"/>
      <c r="AK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AF470" s="36"/>
      <c r="AG470" s="36"/>
      <c r="AH470" s="36"/>
      <c r="AI470" s="36"/>
      <c r="AJ470" s="36"/>
      <c r="AK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AF471" s="36"/>
      <c r="AG471" s="36"/>
      <c r="AH471" s="36"/>
      <c r="AI471" s="36"/>
      <c r="AJ471" s="36"/>
      <c r="AK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AF472" s="36"/>
      <c r="AG472" s="36"/>
      <c r="AH472" s="36"/>
      <c r="AI472" s="36"/>
      <c r="AJ472" s="36"/>
      <c r="AK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AF473" s="36"/>
      <c r="AG473" s="36"/>
      <c r="AH473" s="36"/>
      <c r="AI473" s="36"/>
      <c r="AJ473" s="36"/>
      <c r="AK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AF474" s="36"/>
      <c r="AG474" s="36"/>
      <c r="AH474" s="36"/>
      <c r="AI474" s="36"/>
      <c r="AJ474" s="36"/>
      <c r="AK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AF475" s="36"/>
      <c r="AG475" s="36"/>
      <c r="AH475" s="36"/>
      <c r="AI475" s="36"/>
      <c r="AJ475" s="36"/>
      <c r="AK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AF476" s="36"/>
      <c r="AG476" s="36"/>
      <c r="AH476" s="36"/>
      <c r="AI476" s="36"/>
      <c r="AJ476" s="36"/>
      <c r="AK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AF477" s="36"/>
      <c r="AG477" s="36"/>
      <c r="AH477" s="36"/>
      <c r="AI477" s="36"/>
      <c r="AJ477" s="36"/>
      <c r="AK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AF478" s="36"/>
      <c r="AG478" s="36"/>
      <c r="AH478" s="36"/>
      <c r="AI478" s="36"/>
      <c r="AJ478" s="36"/>
      <c r="AK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AF479" s="36"/>
      <c r="AG479" s="36"/>
      <c r="AH479" s="36"/>
      <c r="AI479" s="36"/>
      <c r="AJ479" s="36"/>
      <c r="AK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AF480" s="36"/>
      <c r="AG480" s="36"/>
      <c r="AH480" s="36"/>
      <c r="AI480" s="36"/>
      <c r="AJ480" s="36"/>
      <c r="AK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AF481" s="36"/>
      <c r="AG481" s="36"/>
      <c r="AH481" s="36"/>
      <c r="AI481" s="36"/>
      <c r="AJ481" s="36"/>
      <c r="AK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AF482" s="36"/>
      <c r="AG482" s="36"/>
      <c r="AH482" s="36"/>
      <c r="AI482" s="36"/>
      <c r="AJ482" s="36"/>
      <c r="AK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AF483" s="36"/>
      <c r="AG483" s="36"/>
      <c r="AH483" s="36"/>
      <c r="AI483" s="36"/>
      <c r="AJ483" s="36"/>
      <c r="AK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AF484" s="36"/>
      <c r="AG484" s="36"/>
      <c r="AH484" s="36"/>
      <c r="AI484" s="36"/>
      <c r="AJ484" s="36"/>
      <c r="AK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AF485" s="36"/>
      <c r="AG485" s="36"/>
      <c r="AH485" s="36"/>
      <c r="AI485" s="36"/>
      <c r="AJ485" s="36"/>
      <c r="AK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AF486" s="36"/>
      <c r="AG486" s="36"/>
      <c r="AH486" s="36"/>
      <c r="AI486" s="36"/>
      <c r="AJ486" s="36"/>
      <c r="AK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AF487" s="36"/>
      <c r="AG487" s="36"/>
      <c r="AH487" s="36"/>
      <c r="AI487" s="36"/>
      <c r="AJ487" s="36"/>
      <c r="AK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AF488" s="36"/>
      <c r="AG488" s="36"/>
      <c r="AH488" s="36"/>
      <c r="AI488" s="36"/>
      <c r="AJ488" s="36"/>
      <c r="AK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AF489" s="36"/>
      <c r="AG489" s="36"/>
      <c r="AH489" s="36"/>
      <c r="AI489" s="36"/>
      <c r="AJ489" s="36"/>
      <c r="AK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AF490" s="36"/>
      <c r="AG490" s="36"/>
      <c r="AH490" s="36"/>
      <c r="AI490" s="36"/>
      <c r="AJ490" s="36"/>
      <c r="AK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AF491" s="36"/>
      <c r="AG491" s="36"/>
      <c r="AH491" s="36"/>
      <c r="AI491" s="36"/>
      <c r="AJ491" s="36"/>
      <c r="AK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AF492" s="36"/>
      <c r="AG492" s="36"/>
      <c r="AH492" s="36"/>
      <c r="AI492" s="36"/>
      <c r="AJ492" s="36"/>
      <c r="AK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AF493" s="36"/>
      <c r="AG493" s="36"/>
      <c r="AH493" s="36"/>
      <c r="AI493" s="36"/>
      <c r="AJ493" s="36"/>
      <c r="AK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AF494" s="36"/>
      <c r="AG494" s="36"/>
      <c r="AH494" s="36"/>
      <c r="AI494" s="36"/>
      <c r="AJ494" s="36"/>
      <c r="AK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AF495" s="36"/>
      <c r="AG495" s="36"/>
      <c r="AH495" s="36"/>
      <c r="AI495" s="36"/>
      <c r="AJ495" s="36"/>
      <c r="AK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AF496" s="36"/>
      <c r="AG496" s="36"/>
      <c r="AH496" s="36"/>
      <c r="AI496" s="36"/>
      <c r="AJ496" s="36"/>
      <c r="AK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AF497" s="36"/>
      <c r="AG497" s="36"/>
      <c r="AH497" s="36"/>
      <c r="AI497" s="36"/>
      <c r="AJ497" s="36"/>
      <c r="AK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AF498" s="36"/>
      <c r="AG498" s="36"/>
      <c r="AH498" s="36"/>
      <c r="AI498" s="36"/>
      <c r="AJ498" s="36"/>
      <c r="AK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AF499" s="36"/>
      <c r="AG499" s="36"/>
      <c r="AH499" s="36"/>
      <c r="AI499" s="36"/>
      <c r="AJ499" s="36"/>
      <c r="AK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AF500" s="36"/>
      <c r="AG500" s="36"/>
      <c r="AH500" s="36"/>
      <c r="AI500" s="36"/>
      <c r="AJ500" s="36"/>
      <c r="AK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AF501" s="36"/>
      <c r="AG501" s="36"/>
      <c r="AH501" s="36"/>
      <c r="AI501" s="36"/>
      <c r="AJ501" s="36"/>
      <c r="AK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AF502" s="36"/>
      <c r="AG502" s="36"/>
      <c r="AH502" s="36"/>
      <c r="AI502" s="36"/>
      <c r="AJ502" s="36"/>
      <c r="AK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AF503" s="36"/>
      <c r="AG503" s="36"/>
      <c r="AH503" s="36"/>
      <c r="AI503" s="36"/>
      <c r="AJ503" s="36"/>
      <c r="AK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AF504" s="36"/>
      <c r="AG504" s="36"/>
      <c r="AH504" s="36"/>
      <c r="AI504" s="36"/>
      <c r="AJ504" s="36"/>
      <c r="AK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AF505" s="36"/>
      <c r="AG505" s="36"/>
      <c r="AH505" s="36"/>
      <c r="AI505" s="36"/>
      <c r="AJ505" s="36"/>
      <c r="AK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AF506" s="36"/>
      <c r="AG506" s="36"/>
      <c r="AH506" s="36"/>
      <c r="AI506" s="36"/>
      <c r="AJ506" s="36"/>
      <c r="AK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AF507" s="36"/>
      <c r="AG507" s="36"/>
      <c r="AH507" s="36"/>
      <c r="AI507" s="36"/>
      <c r="AJ507" s="36"/>
      <c r="AK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AF508" s="36"/>
      <c r="AG508" s="36"/>
      <c r="AH508" s="36"/>
      <c r="AI508" s="36"/>
      <c r="AJ508" s="36"/>
      <c r="AK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AF509" s="36"/>
      <c r="AG509" s="36"/>
      <c r="AH509" s="36"/>
      <c r="AI509" s="36"/>
      <c r="AJ509" s="36"/>
      <c r="AK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AF510" s="36"/>
      <c r="AG510" s="36"/>
      <c r="AH510" s="36"/>
      <c r="AI510" s="36"/>
      <c r="AJ510" s="36"/>
      <c r="AK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AF511" s="36"/>
      <c r="AG511" s="36"/>
      <c r="AH511" s="36"/>
      <c r="AI511" s="36"/>
      <c r="AJ511" s="36"/>
      <c r="AK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AF512" s="36"/>
      <c r="AG512" s="36"/>
      <c r="AH512" s="36"/>
      <c r="AI512" s="36"/>
      <c r="AJ512" s="36"/>
      <c r="AK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AF513" s="36"/>
      <c r="AG513" s="36"/>
      <c r="AH513" s="36"/>
      <c r="AI513" s="36"/>
      <c r="AJ513" s="36"/>
      <c r="AK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AF514" s="36"/>
      <c r="AG514" s="36"/>
      <c r="AH514" s="36"/>
      <c r="AI514" s="36"/>
      <c r="AJ514" s="36"/>
      <c r="AK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AF515" s="36"/>
      <c r="AG515" s="36"/>
      <c r="AH515" s="36"/>
      <c r="AI515" s="36"/>
      <c r="AJ515" s="36"/>
      <c r="AK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AF516" s="36"/>
      <c r="AG516" s="36"/>
      <c r="AH516" s="36"/>
      <c r="AI516" s="36"/>
      <c r="AJ516" s="36"/>
      <c r="AK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AF517" s="36"/>
      <c r="AG517" s="36"/>
      <c r="AH517" s="36"/>
      <c r="AI517" s="36"/>
      <c r="AJ517" s="36"/>
      <c r="AK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AF518" s="36"/>
      <c r="AG518" s="36"/>
      <c r="AH518" s="36"/>
      <c r="AI518" s="36"/>
      <c r="AJ518" s="36"/>
      <c r="AK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AF519" s="36"/>
      <c r="AG519" s="36"/>
      <c r="AH519" s="36"/>
      <c r="AI519" s="36"/>
      <c r="AJ519" s="36"/>
      <c r="AK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AF520" s="36"/>
      <c r="AG520" s="36"/>
      <c r="AH520" s="36"/>
      <c r="AI520" s="36"/>
      <c r="AJ520" s="36"/>
      <c r="AK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AF521" s="36"/>
      <c r="AG521" s="36"/>
      <c r="AH521" s="36"/>
      <c r="AI521" s="36"/>
      <c r="AJ521" s="36"/>
      <c r="AK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AF522" s="36"/>
      <c r="AG522" s="36"/>
      <c r="AH522" s="36"/>
      <c r="AI522" s="36"/>
      <c r="AJ522" s="36"/>
      <c r="AK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AF523" s="36"/>
      <c r="AG523" s="36"/>
      <c r="AH523" s="36"/>
      <c r="AI523" s="36"/>
      <c r="AJ523" s="36"/>
      <c r="AK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AF524" s="36"/>
      <c r="AG524" s="36"/>
      <c r="AH524" s="36"/>
      <c r="AI524" s="36"/>
      <c r="AJ524" s="36"/>
      <c r="AK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AF525" s="36"/>
      <c r="AG525" s="36"/>
      <c r="AH525" s="36"/>
      <c r="AI525" s="36"/>
      <c r="AJ525" s="36"/>
      <c r="AK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AF526" s="36"/>
      <c r="AG526" s="36"/>
      <c r="AH526" s="36"/>
      <c r="AI526" s="36"/>
      <c r="AJ526" s="36"/>
      <c r="AK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AF527" s="36"/>
      <c r="AG527" s="36"/>
      <c r="AH527" s="36"/>
      <c r="AI527" s="36"/>
      <c r="AJ527" s="36"/>
      <c r="AK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AF528" s="36"/>
      <c r="AG528" s="36"/>
      <c r="AH528" s="36"/>
      <c r="AI528" s="36"/>
      <c r="AJ528" s="36"/>
      <c r="AK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AF529" s="36"/>
      <c r="AG529" s="36"/>
      <c r="AH529" s="36"/>
      <c r="AI529" s="36"/>
      <c r="AJ529" s="36"/>
      <c r="AK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AF530" s="36"/>
      <c r="AG530" s="36"/>
      <c r="AH530" s="36"/>
      <c r="AI530" s="36"/>
      <c r="AJ530" s="36"/>
      <c r="AK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AF531" s="36"/>
      <c r="AG531" s="36"/>
      <c r="AH531" s="36"/>
      <c r="AI531" s="36"/>
      <c r="AJ531" s="36"/>
      <c r="AK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AF532" s="36"/>
      <c r="AG532" s="36"/>
      <c r="AH532" s="36"/>
      <c r="AI532" s="36"/>
      <c r="AJ532" s="36"/>
      <c r="AK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AF533" s="36"/>
      <c r="AG533" s="36"/>
      <c r="AH533" s="36"/>
      <c r="AI533" s="36"/>
      <c r="AJ533" s="36"/>
      <c r="AK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AF534" s="36"/>
      <c r="AG534" s="36"/>
      <c r="AH534" s="36"/>
      <c r="AI534" s="36"/>
      <c r="AJ534" s="36"/>
      <c r="AK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AF535" s="36"/>
      <c r="AG535" s="36"/>
      <c r="AH535" s="36"/>
      <c r="AI535" s="36"/>
      <c r="AJ535" s="36"/>
      <c r="AK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AF536" s="36"/>
      <c r="AG536" s="36"/>
      <c r="AH536" s="36"/>
      <c r="AI536" s="36"/>
      <c r="AJ536" s="36"/>
      <c r="AK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AF537" s="36"/>
      <c r="AG537" s="36"/>
      <c r="AH537" s="36"/>
      <c r="AI537" s="36"/>
      <c r="AJ537" s="36"/>
      <c r="AK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AF538" s="36"/>
      <c r="AG538" s="36"/>
      <c r="AH538" s="36"/>
      <c r="AI538" s="36"/>
      <c r="AJ538" s="36"/>
      <c r="AK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AF539" s="36"/>
      <c r="AG539" s="36"/>
      <c r="AH539" s="36"/>
      <c r="AI539" s="36"/>
      <c r="AJ539" s="36"/>
      <c r="AK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AF540" s="36"/>
      <c r="AG540" s="36"/>
      <c r="AH540" s="36"/>
      <c r="AI540" s="36"/>
      <c r="AJ540" s="36"/>
      <c r="AK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AF541" s="36"/>
      <c r="AG541" s="36"/>
      <c r="AH541" s="36"/>
      <c r="AI541" s="36"/>
      <c r="AJ541" s="36"/>
      <c r="AK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AF542" s="36"/>
      <c r="AG542" s="36"/>
      <c r="AH542" s="36"/>
      <c r="AI542" s="36"/>
      <c r="AJ542" s="36"/>
      <c r="AK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AF543" s="36"/>
      <c r="AG543" s="36"/>
      <c r="AH543" s="36"/>
      <c r="AI543" s="36"/>
      <c r="AJ543" s="36"/>
      <c r="AK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AF544" s="36"/>
      <c r="AG544" s="36"/>
      <c r="AH544" s="36"/>
      <c r="AI544" s="36"/>
      <c r="AJ544" s="36"/>
      <c r="AK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AF545" s="36"/>
      <c r="AG545" s="36"/>
      <c r="AH545" s="36"/>
      <c r="AI545" s="36"/>
      <c r="AJ545" s="36"/>
      <c r="AK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AF546" s="36"/>
      <c r="AG546" s="36"/>
      <c r="AH546" s="36"/>
      <c r="AI546" s="36"/>
      <c r="AJ546" s="36"/>
      <c r="AK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AF547" s="36"/>
      <c r="AG547" s="36"/>
      <c r="AH547" s="36"/>
      <c r="AI547" s="36"/>
      <c r="AJ547" s="36"/>
      <c r="AK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AF548" s="36"/>
      <c r="AG548" s="36"/>
      <c r="AH548" s="36"/>
      <c r="AI548" s="36"/>
      <c r="AJ548" s="36"/>
      <c r="AK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AF549" s="36"/>
      <c r="AG549" s="36"/>
      <c r="AH549" s="36"/>
      <c r="AI549" s="36"/>
      <c r="AJ549" s="36"/>
      <c r="AK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AF550" s="36"/>
      <c r="AG550" s="36"/>
      <c r="AH550" s="36"/>
      <c r="AI550" s="36"/>
      <c r="AJ550" s="36"/>
      <c r="AK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AF551" s="36"/>
      <c r="AG551" s="36"/>
      <c r="AH551" s="36"/>
      <c r="AI551" s="36"/>
      <c r="AJ551" s="36"/>
      <c r="AK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AF552" s="36"/>
      <c r="AG552" s="36"/>
      <c r="AH552" s="36"/>
      <c r="AI552" s="36"/>
      <c r="AJ552" s="36"/>
      <c r="AK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AF553" s="36"/>
      <c r="AG553" s="36"/>
      <c r="AH553" s="36"/>
      <c r="AI553" s="36"/>
      <c r="AJ553" s="36"/>
      <c r="AK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AF554" s="36"/>
      <c r="AG554" s="36"/>
      <c r="AH554" s="36"/>
      <c r="AI554" s="36"/>
      <c r="AJ554" s="36"/>
      <c r="AK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AF555" s="36"/>
      <c r="AG555" s="36"/>
      <c r="AH555" s="36"/>
      <c r="AI555" s="36"/>
      <c r="AJ555" s="36"/>
      <c r="AK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AF556" s="36"/>
      <c r="AG556" s="36"/>
      <c r="AH556" s="36"/>
      <c r="AI556" s="36"/>
      <c r="AJ556" s="36"/>
      <c r="AK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AF557" s="36"/>
      <c r="AG557" s="36"/>
      <c r="AH557" s="36"/>
      <c r="AI557" s="36"/>
      <c r="AJ557" s="36"/>
      <c r="AK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AF558" s="36"/>
      <c r="AG558" s="36"/>
      <c r="AH558" s="36"/>
      <c r="AI558" s="36"/>
      <c r="AJ558" s="36"/>
      <c r="AK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AF559" s="36"/>
      <c r="AG559" s="36"/>
      <c r="AH559" s="36"/>
      <c r="AI559" s="36"/>
      <c r="AJ559" s="36"/>
      <c r="AK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AF560" s="36"/>
      <c r="AG560" s="36"/>
      <c r="AH560" s="36"/>
      <c r="AI560" s="36"/>
      <c r="AJ560" s="36"/>
      <c r="AK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AF561" s="36"/>
      <c r="AG561" s="36"/>
      <c r="AH561" s="36"/>
      <c r="AI561" s="36"/>
      <c r="AJ561" s="36"/>
      <c r="AK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AF562" s="36"/>
      <c r="AG562" s="36"/>
      <c r="AH562" s="36"/>
      <c r="AI562" s="36"/>
      <c r="AJ562" s="36"/>
      <c r="AK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AF563" s="36"/>
      <c r="AG563" s="36"/>
      <c r="AH563" s="36"/>
      <c r="AI563" s="36"/>
      <c r="AJ563" s="36"/>
      <c r="AK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AF564" s="36"/>
      <c r="AG564" s="36"/>
      <c r="AH564" s="36"/>
      <c r="AI564" s="36"/>
      <c r="AJ564" s="36"/>
      <c r="AK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AF565" s="36"/>
      <c r="AG565" s="36"/>
      <c r="AH565" s="36"/>
      <c r="AI565" s="36"/>
      <c r="AJ565" s="36"/>
      <c r="AK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AF566" s="36"/>
      <c r="AG566" s="36"/>
      <c r="AH566" s="36"/>
      <c r="AI566" s="36"/>
      <c r="AJ566" s="36"/>
      <c r="AK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AF567" s="36"/>
      <c r="AG567" s="36"/>
      <c r="AH567" s="36"/>
      <c r="AI567" s="36"/>
      <c r="AJ567" s="36"/>
      <c r="AK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AF568" s="36"/>
      <c r="AG568" s="36"/>
      <c r="AH568" s="36"/>
      <c r="AI568" s="36"/>
      <c r="AJ568" s="36"/>
      <c r="AK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AF569" s="36"/>
      <c r="AG569" s="36"/>
      <c r="AH569" s="36"/>
      <c r="AI569" s="36"/>
      <c r="AJ569" s="36"/>
      <c r="AK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AF570" s="36"/>
      <c r="AG570" s="36"/>
      <c r="AH570" s="36"/>
      <c r="AI570" s="36"/>
      <c r="AJ570" s="36"/>
      <c r="AK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AF571" s="36"/>
      <c r="AG571" s="36"/>
      <c r="AH571" s="36"/>
      <c r="AI571" s="36"/>
      <c r="AJ571" s="36"/>
      <c r="AK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AF572" s="36"/>
      <c r="AG572" s="36"/>
      <c r="AH572" s="36"/>
      <c r="AI572" s="36"/>
      <c r="AJ572" s="36"/>
      <c r="AK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AF573" s="36"/>
      <c r="AG573" s="36"/>
      <c r="AH573" s="36"/>
      <c r="AI573" s="36"/>
      <c r="AJ573" s="36"/>
      <c r="AK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AF574" s="36"/>
      <c r="AG574" s="36"/>
      <c r="AH574" s="36"/>
      <c r="AI574" s="36"/>
      <c r="AJ574" s="36"/>
      <c r="AK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AF575" s="36"/>
      <c r="AG575" s="36"/>
      <c r="AH575" s="36"/>
      <c r="AI575" s="36"/>
      <c r="AJ575" s="36"/>
      <c r="AK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AF576" s="36"/>
      <c r="AG576" s="36"/>
      <c r="AH576" s="36"/>
      <c r="AI576" s="36"/>
      <c r="AJ576" s="36"/>
      <c r="AK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AF577" s="36"/>
      <c r="AG577" s="36"/>
      <c r="AH577" s="36"/>
      <c r="AI577" s="36"/>
      <c r="AJ577" s="36"/>
      <c r="AK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AF578" s="36"/>
      <c r="AG578" s="36"/>
      <c r="AH578" s="36"/>
      <c r="AI578" s="36"/>
      <c r="AJ578" s="36"/>
      <c r="AK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AF579" s="36"/>
      <c r="AG579" s="36"/>
      <c r="AH579" s="36"/>
      <c r="AI579" s="36"/>
      <c r="AJ579" s="36"/>
      <c r="AK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AF580" s="36"/>
      <c r="AG580" s="36"/>
      <c r="AH580" s="36"/>
      <c r="AI580" s="36"/>
      <c r="AJ580" s="36"/>
      <c r="AK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AF581" s="36"/>
      <c r="AG581" s="36"/>
      <c r="AH581" s="36"/>
      <c r="AI581" s="36"/>
      <c r="AJ581" s="36"/>
      <c r="AK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AF582" s="36"/>
      <c r="AG582" s="36"/>
      <c r="AH582" s="36"/>
      <c r="AI582" s="36"/>
      <c r="AJ582" s="36"/>
      <c r="AK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AF583" s="36"/>
      <c r="AG583" s="36"/>
      <c r="AH583" s="36"/>
      <c r="AI583" s="36"/>
      <c r="AJ583" s="36"/>
      <c r="AK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AF584" s="36"/>
      <c r="AG584" s="36"/>
      <c r="AH584" s="36"/>
      <c r="AI584" s="36"/>
      <c r="AJ584" s="36"/>
      <c r="AK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AF585" s="36"/>
      <c r="AG585" s="36"/>
      <c r="AH585" s="36"/>
      <c r="AI585" s="36"/>
      <c r="AJ585" s="36"/>
      <c r="AK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AF586" s="36"/>
      <c r="AG586" s="36"/>
      <c r="AH586" s="36"/>
      <c r="AI586" s="36"/>
      <c r="AJ586" s="36"/>
      <c r="AK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AF587" s="36"/>
      <c r="AG587" s="36"/>
      <c r="AH587" s="36"/>
      <c r="AI587" s="36"/>
      <c r="AJ587" s="36"/>
      <c r="AK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AF588" s="36"/>
      <c r="AG588" s="36"/>
      <c r="AH588" s="36"/>
      <c r="AI588" s="36"/>
      <c r="AJ588" s="36"/>
      <c r="AK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AF589" s="36"/>
      <c r="AG589" s="36"/>
      <c r="AH589" s="36"/>
      <c r="AI589" s="36"/>
      <c r="AJ589" s="36"/>
      <c r="AK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AF590" s="36"/>
      <c r="AG590" s="36"/>
      <c r="AH590" s="36"/>
      <c r="AI590" s="36"/>
      <c r="AJ590" s="36"/>
      <c r="AK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AF591" s="36"/>
      <c r="AG591" s="36"/>
      <c r="AH591" s="36"/>
      <c r="AI591" s="36"/>
      <c r="AJ591" s="36"/>
      <c r="AK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AF592" s="36"/>
      <c r="AG592" s="36"/>
      <c r="AH592" s="36"/>
      <c r="AI592" s="36"/>
      <c r="AJ592" s="36"/>
      <c r="AK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AF593" s="36"/>
      <c r="AG593" s="36"/>
      <c r="AH593" s="36"/>
      <c r="AI593" s="36"/>
      <c r="AJ593" s="36"/>
      <c r="AK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AF594" s="36"/>
      <c r="AG594" s="36"/>
      <c r="AH594" s="36"/>
      <c r="AI594" s="36"/>
      <c r="AJ594" s="36"/>
      <c r="AK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AF595" s="36"/>
      <c r="AG595" s="36"/>
      <c r="AH595" s="36"/>
      <c r="AI595" s="36"/>
      <c r="AJ595" s="36"/>
      <c r="AK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AF596" s="36"/>
      <c r="AG596" s="36"/>
      <c r="AH596" s="36"/>
      <c r="AI596" s="36"/>
      <c r="AJ596" s="36"/>
      <c r="AK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AF597" s="36"/>
      <c r="AG597" s="36"/>
      <c r="AH597" s="36"/>
      <c r="AI597" s="36"/>
      <c r="AJ597" s="36"/>
      <c r="AK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AF598" s="36"/>
      <c r="AG598" s="36"/>
      <c r="AH598" s="36"/>
      <c r="AI598" s="36"/>
      <c r="AJ598" s="36"/>
      <c r="AK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AF599" s="36"/>
      <c r="AG599" s="36"/>
      <c r="AH599" s="36"/>
      <c r="AI599" s="36"/>
      <c r="AJ599" s="36"/>
      <c r="AK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AF600" s="36"/>
      <c r="AG600" s="36"/>
      <c r="AH600" s="36"/>
      <c r="AI600" s="36"/>
      <c r="AJ600" s="36"/>
      <c r="AK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AF601" s="36"/>
      <c r="AG601" s="36"/>
      <c r="AH601" s="36"/>
      <c r="AI601" s="36"/>
      <c r="AJ601" s="36"/>
      <c r="AK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AF602" s="36"/>
      <c r="AG602" s="36"/>
      <c r="AH602" s="36"/>
      <c r="AI602" s="36"/>
      <c r="AJ602" s="36"/>
      <c r="AK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AF603" s="36"/>
      <c r="AG603" s="36"/>
      <c r="AH603" s="36"/>
      <c r="AI603" s="36"/>
      <c r="AJ603" s="36"/>
      <c r="AK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AF604" s="36"/>
      <c r="AG604" s="36"/>
      <c r="AH604" s="36"/>
      <c r="AI604" s="36"/>
      <c r="AJ604" s="36"/>
      <c r="AK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AF605" s="36"/>
      <c r="AG605" s="36"/>
      <c r="AH605" s="36"/>
      <c r="AI605" s="36"/>
      <c r="AJ605" s="36"/>
      <c r="AK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AF606" s="36"/>
      <c r="AG606" s="36"/>
      <c r="AH606" s="36"/>
      <c r="AI606" s="36"/>
      <c r="AJ606" s="36"/>
      <c r="AK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AF607" s="36"/>
      <c r="AG607" s="36"/>
      <c r="AH607" s="36"/>
      <c r="AI607" s="36"/>
      <c r="AJ607" s="36"/>
      <c r="AK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AF608" s="36"/>
      <c r="AG608" s="36"/>
      <c r="AH608" s="36"/>
      <c r="AI608" s="36"/>
      <c r="AJ608" s="36"/>
      <c r="AK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AF609" s="36"/>
      <c r="AG609" s="36"/>
      <c r="AH609" s="36"/>
      <c r="AI609" s="36"/>
      <c r="AJ609" s="36"/>
      <c r="AK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AF610" s="36"/>
      <c r="AG610" s="36"/>
      <c r="AH610" s="36"/>
      <c r="AI610" s="36"/>
      <c r="AJ610" s="36"/>
      <c r="AK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AF611" s="36"/>
      <c r="AG611" s="36"/>
      <c r="AH611" s="36"/>
      <c r="AI611" s="36"/>
      <c r="AJ611" s="36"/>
      <c r="AK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AF612" s="36"/>
      <c r="AG612" s="36"/>
      <c r="AH612" s="36"/>
      <c r="AI612" s="36"/>
      <c r="AJ612" s="36"/>
      <c r="AK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AF613" s="36"/>
      <c r="AG613" s="36"/>
      <c r="AH613" s="36"/>
      <c r="AI613" s="36"/>
      <c r="AJ613" s="36"/>
      <c r="AK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AF614" s="36"/>
      <c r="AG614" s="36"/>
      <c r="AH614" s="36"/>
      <c r="AI614" s="36"/>
      <c r="AJ614" s="36"/>
      <c r="AK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AF615" s="36"/>
      <c r="AG615" s="36"/>
      <c r="AH615" s="36"/>
      <c r="AI615" s="36"/>
      <c r="AJ615" s="36"/>
      <c r="AK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AF616" s="36"/>
      <c r="AG616" s="36"/>
      <c r="AH616" s="36"/>
      <c r="AI616" s="36"/>
      <c r="AJ616" s="36"/>
      <c r="AK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AF617" s="36"/>
      <c r="AG617" s="36"/>
      <c r="AH617" s="36"/>
      <c r="AI617" s="36"/>
      <c r="AJ617" s="36"/>
      <c r="AK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AF618" s="36"/>
      <c r="AG618" s="36"/>
      <c r="AH618" s="36"/>
      <c r="AI618" s="36"/>
      <c r="AJ618" s="36"/>
      <c r="AK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AF619" s="36"/>
      <c r="AG619" s="36"/>
      <c r="AH619" s="36"/>
      <c r="AI619" s="36"/>
      <c r="AJ619" s="36"/>
      <c r="AK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AF620" s="36"/>
      <c r="AG620" s="36"/>
      <c r="AH620" s="36"/>
      <c r="AI620" s="36"/>
      <c r="AJ620" s="36"/>
      <c r="AK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AF621" s="36"/>
      <c r="AG621" s="36"/>
      <c r="AH621" s="36"/>
      <c r="AI621" s="36"/>
      <c r="AJ621" s="36"/>
      <c r="AK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AF622" s="36"/>
      <c r="AG622" s="36"/>
      <c r="AH622" s="36"/>
      <c r="AI622" s="36"/>
      <c r="AJ622" s="36"/>
      <c r="AK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AF623" s="36"/>
      <c r="AG623" s="36"/>
      <c r="AH623" s="36"/>
      <c r="AI623" s="36"/>
      <c r="AJ623" s="36"/>
      <c r="AK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AF624" s="36"/>
      <c r="AG624" s="36"/>
      <c r="AH624" s="36"/>
      <c r="AI624" s="36"/>
      <c r="AJ624" s="36"/>
      <c r="AK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AF625" s="36"/>
      <c r="AG625" s="36"/>
      <c r="AH625" s="36"/>
      <c r="AI625" s="36"/>
      <c r="AJ625" s="36"/>
      <c r="AK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AF626" s="36"/>
      <c r="AG626" s="36"/>
      <c r="AH626" s="36"/>
      <c r="AI626" s="36"/>
      <c r="AJ626" s="36"/>
      <c r="AK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AF627" s="36"/>
      <c r="AG627" s="36"/>
      <c r="AH627" s="36"/>
      <c r="AI627" s="36"/>
      <c r="AJ627" s="36"/>
      <c r="AK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AF628" s="36"/>
      <c r="AG628" s="36"/>
      <c r="AH628" s="36"/>
      <c r="AI628" s="36"/>
      <c r="AJ628" s="36"/>
      <c r="AK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AF629" s="36"/>
      <c r="AG629" s="36"/>
      <c r="AH629" s="36"/>
      <c r="AI629" s="36"/>
      <c r="AJ629" s="36"/>
      <c r="AK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AF630" s="36"/>
      <c r="AG630" s="36"/>
      <c r="AH630" s="36"/>
      <c r="AI630" s="36"/>
      <c r="AJ630" s="36"/>
      <c r="AK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AF631" s="36"/>
      <c r="AG631" s="36"/>
      <c r="AH631" s="36"/>
      <c r="AI631" s="36"/>
      <c r="AJ631" s="36"/>
      <c r="AK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AF632" s="36"/>
      <c r="AG632" s="36"/>
      <c r="AH632" s="36"/>
      <c r="AI632" s="36"/>
      <c r="AJ632" s="36"/>
      <c r="AK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AF633" s="36"/>
      <c r="AG633" s="36"/>
      <c r="AH633" s="36"/>
      <c r="AI633" s="36"/>
      <c r="AJ633" s="36"/>
      <c r="AK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AF634" s="36"/>
      <c r="AG634" s="36"/>
      <c r="AH634" s="36"/>
      <c r="AI634" s="36"/>
      <c r="AJ634" s="36"/>
      <c r="AK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AF635" s="36"/>
      <c r="AG635" s="36"/>
      <c r="AH635" s="36"/>
      <c r="AI635" s="36"/>
      <c r="AJ635" s="36"/>
      <c r="AK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AF636" s="36"/>
      <c r="AG636" s="36"/>
      <c r="AH636" s="36"/>
      <c r="AI636" s="36"/>
      <c r="AJ636" s="36"/>
      <c r="AK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AF637" s="36"/>
      <c r="AG637" s="36"/>
      <c r="AH637" s="36"/>
      <c r="AI637" s="36"/>
      <c r="AJ637" s="36"/>
      <c r="AK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AF638" s="36"/>
      <c r="AG638" s="36"/>
      <c r="AH638" s="36"/>
      <c r="AI638" s="36"/>
      <c r="AJ638" s="36"/>
      <c r="AK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AF639" s="36"/>
      <c r="AG639" s="36"/>
      <c r="AH639" s="36"/>
      <c r="AI639" s="36"/>
      <c r="AJ639" s="36"/>
      <c r="AK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AF640" s="36"/>
      <c r="AG640" s="36"/>
      <c r="AH640" s="36"/>
      <c r="AI640" s="36"/>
      <c r="AJ640" s="36"/>
      <c r="AK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AF641" s="36"/>
      <c r="AG641" s="36"/>
      <c r="AH641" s="36"/>
      <c r="AI641" s="36"/>
      <c r="AJ641" s="36"/>
      <c r="AK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AF642" s="36"/>
      <c r="AG642" s="36"/>
      <c r="AH642" s="36"/>
      <c r="AI642" s="36"/>
      <c r="AJ642" s="36"/>
      <c r="AK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AF643" s="36"/>
      <c r="AG643" s="36"/>
      <c r="AH643" s="36"/>
      <c r="AI643" s="36"/>
      <c r="AJ643" s="36"/>
      <c r="AK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AF644" s="36"/>
      <c r="AG644" s="36"/>
      <c r="AH644" s="36"/>
      <c r="AI644" s="36"/>
      <c r="AJ644" s="36"/>
      <c r="AK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AF645" s="36"/>
      <c r="AG645" s="36"/>
      <c r="AH645" s="36"/>
      <c r="AI645" s="36"/>
      <c r="AJ645" s="36"/>
      <c r="AK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AF646" s="36"/>
      <c r="AG646" s="36"/>
      <c r="AH646" s="36"/>
      <c r="AI646" s="36"/>
      <c r="AJ646" s="36"/>
      <c r="AK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AF647" s="36"/>
      <c r="AG647" s="36"/>
      <c r="AH647" s="36"/>
      <c r="AI647" s="36"/>
      <c r="AJ647" s="36"/>
      <c r="AK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AF648" s="36"/>
      <c r="AG648" s="36"/>
      <c r="AH648" s="36"/>
      <c r="AI648" s="36"/>
      <c r="AJ648" s="36"/>
      <c r="AK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AF649" s="36"/>
      <c r="AG649" s="36"/>
      <c r="AH649" s="36"/>
      <c r="AI649" s="36"/>
      <c r="AJ649" s="36"/>
      <c r="AK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AF650" s="36"/>
      <c r="AG650" s="36"/>
      <c r="AH650" s="36"/>
      <c r="AI650" s="36"/>
      <c r="AJ650" s="36"/>
      <c r="AK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AF651" s="36"/>
      <c r="AG651" s="36"/>
      <c r="AH651" s="36"/>
      <c r="AI651" s="36"/>
      <c r="AJ651" s="36"/>
      <c r="AK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AF652" s="36"/>
      <c r="AG652" s="36"/>
      <c r="AH652" s="36"/>
      <c r="AI652" s="36"/>
      <c r="AJ652" s="36"/>
      <c r="AK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AF653" s="36"/>
      <c r="AG653" s="36"/>
      <c r="AH653" s="36"/>
      <c r="AI653" s="36"/>
      <c r="AJ653" s="36"/>
      <c r="AK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AF654" s="36"/>
      <c r="AG654" s="36"/>
      <c r="AH654" s="36"/>
      <c r="AI654" s="36"/>
      <c r="AJ654" s="36"/>
      <c r="AK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AF655" s="36"/>
      <c r="AG655" s="36"/>
      <c r="AH655" s="36"/>
      <c r="AI655" s="36"/>
      <c r="AJ655" s="36"/>
      <c r="AK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AF656" s="36"/>
      <c r="AG656" s="36"/>
      <c r="AH656" s="36"/>
      <c r="AI656" s="36"/>
      <c r="AJ656" s="36"/>
      <c r="AK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AF657" s="36"/>
      <c r="AG657" s="36"/>
      <c r="AH657" s="36"/>
      <c r="AI657" s="36"/>
      <c r="AJ657" s="36"/>
      <c r="AK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AF658" s="36"/>
      <c r="AG658" s="36"/>
      <c r="AH658" s="36"/>
      <c r="AI658" s="36"/>
      <c r="AJ658" s="36"/>
      <c r="AK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AF659" s="36"/>
      <c r="AG659" s="36"/>
      <c r="AH659" s="36"/>
      <c r="AI659" s="36"/>
      <c r="AJ659" s="36"/>
      <c r="AK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AF660" s="36"/>
      <c r="AG660" s="36"/>
      <c r="AH660" s="36"/>
      <c r="AI660" s="36"/>
      <c r="AJ660" s="36"/>
      <c r="AK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AF661" s="36"/>
      <c r="AG661" s="36"/>
      <c r="AH661" s="36"/>
      <c r="AI661" s="36"/>
      <c r="AJ661" s="36"/>
      <c r="AK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AF662" s="36"/>
      <c r="AG662" s="36"/>
      <c r="AH662" s="36"/>
      <c r="AI662" s="36"/>
      <c r="AJ662" s="36"/>
      <c r="AK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AF663" s="36"/>
      <c r="AG663" s="36"/>
      <c r="AH663" s="36"/>
      <c r="AI663" s="36"/>
      <c r="AJ663" s="36"/>
      <c r="AK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AF664" s="36"/>
      <c r="AG664" s="36"/>
      <c r="AH664" s="36"/>
      <c r="AI664" s="36"/>
      <c r="AJ664" s="36"/>
      <c r="AK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AF665" s="36"/>
      <c r="AG665" s="36"/>
      <c r="AH665" s="36"/>
      <c r="AI665" s="36"/>
      <c r="AJ665" s="36"/>
      <c r="AK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AF666" s="36"/>
      <c r="AG666" s="36"/>
      <c r="AH666" s="36"/>
      <c r="AI666" s="36"/>
      <c r="AJ666" s="36"/>
      <c r="AK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AF667" s="36"/>
      <c r="AG667" s="36"/>
      <c r="AH667" s="36"/>
      <c r="AI667" s="36"/>
      <c r="AJ667" s="36"/>
      <c r="AK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AF668" s="36"/>
      <c r="AG668" s="36"/>
      <c r="AH668" s="36"/>
      <c r="AI668" s="36"/>
      <c r="AJ668" s="36"/>
      <c r="AK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AF669" s="36"/>
      <c r="AG669" s="36"/>
      <c r="AH669" s="36"/>
      <c r="AI669" s="36"/>
      <c r="AJ669" s="36"/>
      <c r="AK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AF670" s="36"/>
      <c r="AG670" s="36"/>
      <c r="AH670" s="36"/>
      <c r="AI670" s="36"/>
      <c r="AJ670" s="36"/>
      <c r="AK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AF671" s="36"/>
      <c r="AG671" s="36"/>
      <c r="AH671" s="36"/>
      <c r="AI671" s="36"/>
      <c r="AJ671" s="36"/>
      <c r="AK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AF672" s="36"/>
      <c r="AG672" s="36"/>
      <c r="AH672" s="36"/>
      <c r="AI672" s="36"/>
      <c r="AJ672" s="36"/>
      <c r="AK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AF673" s="36"/>
      <c r="AG673" s="36"/>
      <c r="AH673" s="36"/>
      <c r="AI673" s="36"/>
      <c r="AJ673" s="36"/>
      <c r="AK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AF674" s="36"/>
      <c r="AG674" s="36"/>
      <c r="AH674" s="36"/>
      <c r="AI674" s="36"/>
      <c r="AJ674" s="36"/>
      <c r="AK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AF675" s="36"/>
      <c r="AG675" s="36"/>
      <c r="AH675" s="36"/>
      <c r="AI675" s="36"/>
      <c r="AJ675" s="36"/>
      <c r="AK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AF676" s="36"/>
      <c r="AG676" s="36"/>
      <c r="AH676" s="36"/>
      <c r="AI676" s="36"/>
      <c r="AJ676" s="36"/>
      <c r="AK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AF677" s="36"/>
      <c r="AG677" s="36"/>
      <c r="AH677" s="36"/>
      <c r="AI677" s="36"/>
      <c r="AJ677" s="36"/>
      <c r="AK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AF678" s="36"/>
      <c r="AG678" s="36"/>
      <c r="AH678" s="36"/>
      <c r="AI678" s="36"/>
      <c r="AJ678" s="36"/>
      <c r="AK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AF679" s="36"/>
      <c r="AG679" s="36"/>
      <c r="AH679" s="36"/>
      <c r="AI679" s="36"/>
      <c r="AJ679" s="36"/>
      <c r="AK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AF680" s="36"/>
      <c r="AG680" s="36"/>
      <c r="AH680" s="36"/>
      <c r="AI680" s="36"/>
      <c r="AJ680" s="36"/>
      <c r="AK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AF681" s="36"/>
      <c r="AG681" s="36"/>
      <c r="AH681" s="36"/>
      <c r="AI681" s="36"/>
      <c r="AJ681" s="36"/>
      <c r="AK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AF682" s="36"/>
      <c r="AG682" s="36"/>
      <c r="AH682" s="36"/>
      <c r="AI682" s="36"/>
      <c r="AJ682" s="36"/>
      <c r="AK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AF683" s="36"/>
      <c r="AG683" s="36"/>
      <c r="AH683" s="36"/>
      <c r="AI683" s="36"/>
      <c r="AJ683" s="36"/>
      <c r="AK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AF684" s="36"/>
      <c r="AG684" s="36"/>
      <c r="AH684" s="36"/>
      <c r="AI684" s="36"/>
      <c r="AJ684" s="36"/>
      <c r="AK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AF685" s="36"/>
      <c r="AG685" s="36"/>
      <c r="AH685" s="36"/>
      <c r="AI685" s="36"/>
      <c r="AJ685" s="36"/>
      <c r="AK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AF686" s="36"/>
      <c r="AG686" s="36"/>
      <c r="AH686" s="36"/>
      <c r="AI686" s="36"/>
      <c r="AJ686" s="36"/>
      <c r="AK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AF687" s="36"/>
      <c r="AG687" s="36"/>
      <c r="AH687" s="36"/>
      <c r="AI687" s="36"/>
      <c r="AJ687" s="36"/>
      <c r="AK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AF688" s="36"/>
      <c r="AG688" s="36"/>
      <c r="AH688" s="36"/>
      <c r="AI688" s="36"/>
      <c r="AJ688" s="36"/>
      <c r="AK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AF689" s="36"/>
      <c r="AG689" s="36"/>
      <c r="AH689" s="36"/>
      <c r="AI689" s="36"/>
      <c r="AJ689" s="36"/>
      <c r="AK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AF690" s="36"/>
      <c r="AG690" s="36"/>
      <c r="AH690" s="36"/>
      <c r="AI690" s="36"/>
      <c r="AJ690" s="36"/>
      <c r="AK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AF691" s="36"/>
      <c r="AG691" s="36"/>
      <c r="AH691" s="36"/>
      <c r="AI691" s="36"/>
      <c r="AJ691" s="36"/>
      <c r="AK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AF692" s="36"/>
      <c r="AG692" s="36"/>
      <c r="AH692" s="36"/>
      <c r="AI692" s="36"/>
      <c r="AJ692" s="36"/>
      <c r="AK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AF693" s="36"/>
      <c r="AG693" s="36"/>
      <c r="AH693" s="36"/>
      <c r="AI693" s="36"/>
      <c r="AJ693" s="36"/>
      <c r="AK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AF694" s="36"/>
      <c r="AG694" s="36"/>
      <c r="AH694" s="36"/>
      <c r="AI694" s="36"/>
      <c r="AJ694" s="36"/>
      <c r="AK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AF695" s="36"/>
      <c r="AG695" s="36"/>
      <c r="AH695" s="36"/>
      <c r="AI695" s="36"/>
      <c r="AJ695" s="36"/>
      <c r="AK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AF696" s="36"/>
      <c r="AG696" s="36"/>
      <c r="AH696" s="36"/>
      <c r="AI696" s="36"/>
      <c r="AJ696" s="36"/>
      <c r="AK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AF697" s="36"/>
      <c r="AG697" s="36"/>
      <c r="AH697" s="36"/>
      <c r="AI697" s="36"/>
      <c r="AJ697" s="36"/>
      <c r="AK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AF698" s="36"/>
      <c r="AG698" s="36"/>
      <c r="AH698" s="36"/>
      <c r="AI698" s="36"/>
      <c r="AJ698" s="36"/>
      <c r="AK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AF699" s="36"/>
      <c r="AG699" s="36"/>
      <c r="AH699" s="36"/>
      <c r="AI699" s="36"/>
      <c r="AJ699" s="36"/>
      <c r="AK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AF700" s="36"/>
      <c r="AG700" s="36"/>
      <c r="AH700" s="36"/>
      <c r="AI700" s="36"/>
      <c r="AJ700" s="36"/>
      <c r="AK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AF701" s="36"/>
      <c r="AG701" s="36"/>
      <c r="AH701" s="36"/>
      <c r="AI701" s="36"/>
      <c r="AJ701" s="36"/>
      <c r="AK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AF702" s="36"/>
      <c r="AG702" s="36"/>
      <c r="AH702" s="36"/>
      <c r="AI702" s="36"/>
      <c r="AJ702" s="36"/>
      <c r="AK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AF703" s="36"/>
      <c r="AG703" s="36"/>
      <c r="AH703" s="36"/>
      <c r="AI703" s="36"/>
      <c r="AJ703" s="36"/>
      <c r="AK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AF704" s="36"/>
      <c r="AG704" s="36"/>
      <c r="AH704" s="36"/>
      <c r="AI704" s="36"/>
      <c r="AJ704" s="36"/>
      <c r="AK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AF705" s="36"/>
      <c r="AG705" s="36"/>
      <c r="AH705" s="36"/>
      <c r="AI705" s="36"/>
      <c r="AJ705" s="36"/>
      <c r="AK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AF706" s="36"/>
      <c r="AG706" s="36"/>
      <c r="AH706" s="36"/>
      <c r="AI706" s="36"/>
      <c r="AJ706" s="36"/>
      <c r="AK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AF707" s="36"/>
      <c r="AG707" s="36"/>
      <c r="AH707" s="36"/>
      <c r="AI707" s="36"/>
      <c r="AJ707" s="36"/>
      <c r="AK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AF708" s="36"/>
      <c r="AG708" s="36"/>
      <c r="AH708" s="36"/>
      <c r="AI708" s="36"/>
      <c r="AJ708" s="36"/>
      <c r="AK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AF709" s="36"/>
      <c r="AG709" s="36"/>
      <c r="AH709" s="36"/>
      <c r="AI709" s="36"/>
      <c r="AJ709" s="36"/>
      <c r="AK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AF710" s="36"/>
      <c r="AG710" s="36"/>
      <c r="AH710" s="36"/>
      <c r="AI710" s="36"/>
      <c r="AJ710" s="36"/>
      <c r="AK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AF711" s="36"/>
      <c r="AG711" s="36"/>
      <c r="AH711" s="36"/>
      <c r="AI711" s="36"/>
      <c r="AJ711" s="36"/>
      <c r="AK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AF712" s="36"/>
      <c r="AG712" s="36"/>
      <c r="AH712" s="36"/>
      <c r="AI712" s="36"/>
      <c r="AJ712" s="36"/>
      <c r="AK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AF713" s="36"/>
      <c r="AG713" s="36"/>
      <c r="AH713" s="36"/>
      <c r="AI713" s="36"/>
      <c r="AJ713" s="36"/>
      <c r="AK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AF714" s="36"/>
      <c r="AG714" s="36"/>
      <c r="AH714" s="36"/>
      <c r="AI714" s="36"/>
      <c r="AJ714" s="36"/>
      <c r="AK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AF715" s="36"/>
      <c r="AG715" s="36"/>
      <c r="AH715" s="36"/>
      <c r="AI715" s="36"/>
      <c r="AJ715" s="36"/>
      <c r="AK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AF716" s="36"/>
      <c r="AG716" s="36"/>
      <c r="AH716" s="36"/>
      <c r="AI716" s="36"/>
      <c r="AJ716" s="36"/>
      <c r="AK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AF717" s="36"/>
      <c r="AG717" s="36"/>
      <c r="AH717" s="36"/>
      <c r="AI717" s="36"/>
      <c r="AJ717" s="36"/>
      <c r="AK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AF718" s="36"/>
      <c r="AG718" s="36"/>
      <c r="AH718" s="36"/>
      <c r="AI718" s="36"/>
      <c r="AJ718" s="36"/>
      <c r="AK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AF719" s="36"/>
      <c r="AG719" s="36"/>
      <c r="AH719" s="36"/>
      <c r="AI719" s="36"/>
      <c r="AJ719" s="36"/>
      <c r="AK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AF720" s="36"/>
      <c r="AG720" s="36"/>
      <c r="AH720" s="36"/>
      <c r="AI720" s="36"/>
      <c r="AJ720" s="36"/>
      <c r="AK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AF721" s="36"/>
      <c r="AG721" s="36"/>
      <c r="AH721" s="36"/>
      <c r="AI721" s="36"/>
      <c r="AJ721" s="36"/>
      <c r="AK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AF722" s="36"/>
      <c r="AG722" s="36"/>
      <c r="AH722" s="36"/>
      <c r="AI722" s="36"/>
      <c r="AJ722" s="36"/>
      <c r="AK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AF723" s="36"/>
      <c r="AG723" s="36"/>
      <c r="AH723" s="36"/>
      <c r="AI723" s="36"/>
      <c r="AJ723" s="36"/>
      <c r="AK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AF724" s="36"/>
      <c r="AG724" s="36"/>
      <c r="AH724" s="36"/>
      <c r="AI724" s="36"/>
      <c r="AJ724" s="36"/>
      <c r="AK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AF725" s="36"/>
      <c r="AG725" s="36"/>
      <c r="AH725" s="36"/>
      <c r="AI725" s="36"/>
      <c r="AJ725" s="36"/>
      <c r="AK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AF726" s="36"/>
      <c r="AG726" s="36"/>
      <c r="AH726" s="36"/>
      <c r="AI726" s="36"/>
      <c r="AJ726" s="36"/>
      <c r="AK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AF727" s="36"/>
      <c r="AG727" s="36"/>
      <c r="AH727" s="36"/>
      <c r="AI727" s="36"/>
      <c r="AJ727" s="36"/>
      <c r="AK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AF728" s="36"/>
      <c r="AG728" s="36"/>
      <c r="AH728" s="36"/>
      <c r="AI728" s="36"/>
      <c r="AJ728" s="36"/>
      <c r="AK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AF729" s="36"/>
      <c r="AG729" s="36"/>
      <c r="AH729" s="36"/>
      <c r="AI729" s="36"/>
      <c r="AJ729" s="36"/>
      <c r="AK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AF730" s="36"/>
      <c r="AG730" s="36"/>
      <c r="AH730" s="36"/>
      <c r="AI730" s="36"/>
      <c r="AJ730" s="36"/>
      <c r="AK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AF731" s="36"/>
      <c r="AG731" s="36"/>
      <c r="AH731" s="36"/>
      <c r="AI731" s="36"/>
      <c r="AJ731" s="36"/>
      <c r="AK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AF732" s="36"/>
      <c r="AG732" s="36"/>
      <c r="AH732" s="36"/>
      <c r="AI732" s="36"/>
      <c r="AJ732" s="36"/>
      <c r="AK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AF733" s="36"/>
      <c r="AG733" s="36"/>
      <c r="AH733" s="36"/>
      <c r="AI733" s="36"/>
      <c r="AJ733" s="36"/>
      <c r="AK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AF734" s="36"/>
      <c r="AG734" s="36"/>
      <c r="AH734" s="36"/>
      <c r="AI734" s="36"/>
      <c r="AJ734" s="36"/>
      <c r="AK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AF735" s="36"/>
      <c r="AG735" s="36"/>
      <c r="AH735" s="36"/>
      <c r="AI735" s="36"/>
      <c r="AJ735" s="36"/>
      <c r="AK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AF736" s="36"/>
      <c r="AG736" s="36"/>
      <c r="AH736" s="36"/>
      <c r="AI736" s="36"/>
      <c r="AJ736" s="36"/>
      <c r="AK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AF737" s="36"/>
      <c r="AG737" s="36"/>
      <c r="AH737" s="36"/>
      <c r="AI737" s="36"/>
      <c r="AJ737" s="36"/>
      <c r="AK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AF738" s="36"/>
      <c r="AG738" s="36"/>
      <c r="AH738" s="36"/>
      <c r="AI738" s="36"/>
      <c r="AJ738" s="36"/>
      <c r="AK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AF739" s="36"/>
      <c r="AG739" s="36"/>
      <c r="AH739" s="36"/>
      <c r="AI739" s="36"/>
      <c r="AJ739" s="36"/>
      <c r="AK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AF740" s="36"/>
      <c r="AG740" s="36"/>
      <c r="AH740" s="36"/>
      <c r="AI740" s="36"/>
      <c r="AJ740" s="36"/>
      <c r="A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AF741" s="36"/>
      <c r="AG741" s="36"/>
      <c r="AH741" s="36"/>
      <c r="AI741" s="36"/>
      <c r="AJ741" s="36"/>
      <c r="A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AF742" s="36"/>
      <c r="AG742" s="36"/>
      <c r="AH742" s="36"/>
      <c r="AI742" s="36"/>
      <c r="AJ742" s="36"/>
      <c r="A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AF743" s="36"/>
      <c r="AG743" s="36"/>
      <c r="AH743" s="36"/>
      <c r="AI743" s="36"/>
      <c r="AJ743" s="36"/>
      <c r="A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AF744" s="36"/>
      <c r="AG744" s="36"/>
      <c r="AH744" s="36"/>
      <c r="AI744" s="36"/>
      <c r="AJ744" s="36"/>
      <c r="A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AF745" s="36"/>
      <c r="AG745" s="36"/>
      <c r="AH745" s="36"/>
      <c r="AI745" s="36"/>
      <c r="AJ745" s="36"/>
      <c r="A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AF746" s="36"/>
      <c r="AG746" s="36"/>
      <c r="AH746" s="36"/>
      <c r="AI746" s="36"/>
      <c r="AJ746" s="36"/>
      <c r="A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AF747" s="36"/>
      <c r="AG747" s="36"/>
      <c r="AH747" s="36"/>
      <c r="AI747" s="36"/>
      <c r="AJ747" s="36"/>
      <c r="A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AF748" s="36"/>
      <c r="AG748" s="36"/>
      <c r="AH748" s="36"/>
      <c r="AI748" s="36"/>
      <c r="AJ748" s="36"/>
      <c r="A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AF749" s="36"/>
      <c r="AG749" s="36"/>
      <c r="AH749" s="36"/>
      <c r="AI749" s="36"/>
      <c r="AJ749" s="36"/>
      <c r="A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AF750" s="36"/>
      <c r="AG750" s="36"/>
      <c r="AH750" s="36"/>
      <c r="AI750" s="36"/>
      <c r="AJ750" s="36"/>
      <c r="A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AF751" s="36"/>
      <c r="AG751" s="36"/>
      <c r="AH751" s="36"/>
      <c r="AI751" s="36"/>
      <c r="AJ751" s="36"/>
      <c r="A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AF752" s="36"/>
      <c r="AG752" s="36"/>
      <c r="AH752" s="36"/>
      <c r="AI752" s="36"/>
      <c r="AJ752" s="36"/>
      <c r="A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AF753" s="36"/>
      <c r="AG753" s="36"/>
      <c r="AH753" s="36"/>
      <c r="AI753" s="36"/>
      <c r="AJ753" s="36"/>
      <c r="A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AF754" s="36"/>
      <c r="AG754" s="36"/>
      <c r="AH754" s="36"/>
      <c r="AI754" s="36"/>
      <c r="AJ754" s="36"/>
      <c r="A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AF755" s="36"/>
      <c r="AG755" s="36"/>
      <c r="AH755" s="36"/>
      <c r="AI755" s="36"/>
      <c r="AJ755" s="36"/>
      <c r="A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AF756" s="36"/>
      <c r="AG756" s="36"/>
      <c r="AH756" s="36"/>
      <c r="AI756" s="36"/>
      <c r="AJ756" s="36"/>
      <c r="A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AF757" s="36"/>
      <c r="AG757" s="36"/>
      <c r="AH757" s="36"/>
      <c r="AI757" s="36"/>
      <c r="AJ757" s="36"/>
      <c r="A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AF758" s="36"/>
      <c r="AG758" s="36"/>
      <c r="AH758" s="36"/>
      <c r="AI758" s="36"/>
      <c r="AJ758" s="36"/>
      <c r="A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AF759" s="36"/>
      <c r="AG759" s="36"/>
      <c r="AH759" s="36"/>
      <c r="AI759" s="36"/>
      <c r="AJ759" s="36"/>
      <c r="A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AF760" s="36"/>
      <c r="AG760" s="36"/>
      <c r="AH760" s="36"/>
      <c r="AI760" s="36"/>
      <c r="AJ760" s="36"/>
      <c r="A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AF761" s="36"/>
      <c r="AG761" s="36"/>
      <c r="AH761" s="36"/>
      <c r="AI761" s="36"/>
      <c r="AJ761" s="36"/>
      <c r="A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AF762" s="36"/>
      <c r="AG762" s="36"/>
      <c r="AH762" s="36"/>
      <c r="AI762" s="36"/>
      <c r="AJ762" s="36"/>
      <c r="A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AF763" s="36"/>
      <c r="AG763" s="36"/>
      <c r="AH763" s="36"/>
      <c r="AI763" s="36"/>
      <c r="AJ763" s="36"/>
      <c r="A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AF764" s="36"/>
      <c r="AG764" s="36"/>
      <c r="AH764" s="36"/>
      <c r="AI764" s="36"/>
      <c r="AJ764" s="36"/>
      <c r="A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AF765" s="36"/>
      <c r="AG765" s="36"/>
      <c r="AH765" s="36"/>
      <c r="AI765" s="36"/>
      <c r="AJ765" s="36"/>
      <c r="A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AF766" s="36"/>
      <c r="AG766" s="36"/>
      <c r="AH766" s="36"/>
      <c r="AI766" s="36"/>
      <c r="AJ766" s="36"/>
      <c r="A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AF767" s="36"/>
      <c r="AG767" s="36"/>
      <c r="AH767" s="36"/>
      <c r="AI767" s="36"/>
      <c r="AJ767" s="36"/>
      <c r="A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AF768" s="36"/>
      <c r="AG768" s="36"/>
      <c r="AH768" s="36"/>
      <c r="AI768" s="36"/>
      <c r="AJ768" s="36"/>
      <c r="A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AF769" s="36"/>
      <c r="AG769" s="36"/>
      <c r="AH769" s="36"/>
      <c r="AI769" s="36"/>
      <c r="AJ769" s="36"/>
      <c r="A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AF770" s="36"/>
      <c r="AG770" s="36"/>
      <c r="AH770" s="36"/>
      <c r="AI770" s="36"/>
      <c r="AJ770" s="36"/>
      <c r="A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AF771" s="36"/>
      <c r="AG771" s="36"/>
      <c r="AH771" s="36"/>
      <c r="AI771" s="36"/>
      <c r="AJ771" s="36"/>
      <c r="A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AF772" s="36"/>
      <c r="AG772" s="36"/>
      <c r="AH772" s="36"/>
      <c r="AI772" s="36"/>
      <c r="AJ772" s="36"/>
      <c r="A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AF773" s="36"/>
      <c r="AG773" s="36"/>
      <c r="AH773" s="36"/>
      <c r="AI773" s="36"/>
      <c r="AJ773" s="36"/>
      <c r="A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AF774" s="36"/>
      <c r="AG774" s="36"/>
      <c r="AH774" s="36"/>
      <c r="AI774" s="36"/>
      <c r="AJ774" s="36"/>
      <c r="A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AF775" s="36"/>
      <c r="AG775" s="36"/>
      <c r="AH775" s="36"/>
      <c r="AI775" s="36"/>
      <c r="AJ775" s="36"/>
      <c r="A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AF776" s="36"/>
      <c r="AG776" s="36"/>
      <c r="AH776" s="36"/>
      <c r="AI776" s="36"/>
      <c r="AJ776" s="36"/>
      <c r="A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AF777" s="36"/>
      <c r="AG777" s="36"/>
      <c r="AH777" s="36"/>
      <c r="AI777" s="36"/>
      <c r="AJ777" s="36"/>
      <c r="A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AF778" s="36"/>
      <c r="AG778" s="36"/>
      <c r="AH778" s="36"/>
      <c r="AI778" s="36"/>
      <c r="AJ778" s="36"/>
      <c r="A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AF779" s="36"/>
      <c r="AG779" s="36"/>
      <c r="AH779" s="36"/>
      <c r="AI779" s="36"/>
      <c r="AJ779" s="36"/>
      <c r="A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AF780" s="36"/>
      <c r="AG780" s="36"/>
      <c r="AH780" s="36"/>
      <c r="AI780" s="36"/>
      <c r="AJ780" s="36"/>
      <c r="A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AF781" s="36"/>
      <c r="AG781" s="36"/>
      <c r="AH781" s="36"/>
      <c r="AI781" s="36"/>
      <c r="AJ781" s="36"/>
      <c r="A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AF782" s="36"/>
      <c r="AG782" s="36"/>
      <c r="AH782" s="36"/>
      <c r="AI782" s="36"/>
      <c r="AJ782" s="36"/>
      <c r="A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AF783" s="36"/>
      <c r="AG783" s="36"/>
      <c r="AH783" s="36"/>
      <c r="AI783" s="36"/>
      <c r="AJ783" s="36"/>
      <c r="A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AF784" s="36"/>
      <c r="AG784" s="36"/>
      <c r="AH784" s="36"/>
      <c r="AI784" s="36"/>
      <c r="AJ784" s="36"/>
      <c r="A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AF785" s="36"/>
      <c r="AG785" s="36"/>
      <c r="AH785" s="36"/>
      <c r="AI785" s="36"/>
      <c r="AJ785" s="36"/>
      <c r="A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AF786" s="36"/>
      <c r="AG786" s="36"/>
      <c r="AH786" s="36"/>
      <c r="AI786" s="36"/>
      <c r="AJ786" s="36"/>
      <c r="A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AF787" s="36"/>
      <c r="AG787" s="36"/>
      <c r="AH787" s="36"/>
      <c r="AI787" s="36"/>
      <c r="AJ787" s="36"/>
      <c r="A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AF788" s="36"/>
      <c r="AG788" s="36"/>
      <c r="AH788" s="36"/>
      <c r="AI788" s="36"/>
      <c r="AJ788" s="36"/>
      <c r="A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AF789" s="36"/>
      <c r="AG789" s="36"/>
      <c r="AH789" s="36"/>
      <c r="AI789" s="36"/>
      <c r="AJ789" s="36"/>
      <c r="A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AF790" s="36"/>
      <c r="AG790" s="36"/>
      <c r="AH790" s="36"/>
      <c r="AI790" s="36"/>
      <c r="AJ790" s="36"/>
      <c r="A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AF791" s="36"/>
      <c r="AG791" s="36"/>
      <c r="AH791" s="36"/>
      <c r="AI791" s="36"/>
      <c r="AJ791" s="36"/>
      <c r="A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AF792" s="36"/>
      <c r="AG792" s="36"/>
      <c r="AH792" s="36"/>
      <c r="AI792" s="36"/>
      <c r="AJ792" s="36"/>
      <c r="A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AF793" s="36"/>
      <c r="AG793" s="36"/>
      <c r="AH793" s="36"/>
      <c r="AI793" s="36"/>
      <c r="AJ793" s="36"/>
      <c r="A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AF794" s="36"/>
      <c r="AG794" s="36"/>
      <c r="AH794" s="36"/>
      <c r="AI794" s="36"/>
      <c r="AJ794" s="36"/>
      <c r="A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AF795" s="36"/>
      <c r="AG795" s="36"/>
      <c r="AH795" s="36"/>
      <c r="AI795" s="36"/>
      <c r="AJ795" s="36"/>
      <c r="A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AF796" s="36"/>
      <c r="AG796" s="36"/>
      <c r="AH796" s="36"/>
      <c r="AI796" s="36"/>
      <c r="AJ796" s="36"/>
      <c r="A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AF797" s="36"/>
      <c r="AG797" s="36"/>
      <c r="AH797" s="36"/>
      <c r="AI797" s="36"/>
      <c r="AJ797" s="36"/>
      <c r="A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AF798" s="36"/>
      <c r="AG798" s="36"/>
      <c r="AH798" s="36"/>
      <c r="AI798" s="36"/>
      <c r="AJ798" s="36"/>
      <c r="A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AF799" s="36"/>
      <c r="AG799" s="36"/>
      <c r="AH799" s="36"/>
      <c r="AI799" s="36"/>
      <c r="AJ799" s="36"/>
      <c r="A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AF800" s="36"/>
      <c r="AG800" s="36"/>
      <c r="AH800" s="36"/>
      <c r="AI800" s="36"/>
      <c r="AJ800" s="36"/>
      <c r="A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AF801" s="36"/>
      <c r="AG801" s="36"/>
      <c r="AH801" s="36"/>
      <c r="AI801" s="36"/>
      <c r="AJ801" s="36"/>
      <c r="A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AF802" s="36"/>
      <c r="AG802" s="36"/>
      <c r="AH802" s="36"/>
      <c r="AI802" s="36"/>
      <c r="AJ802" s="36"/>
      <c r="A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AF803" s="36"/>
      <c r="AG803" s="36"/>
      <c r="AH803" s="36"/>
      <c r="AI803" s="36"/>
      <c r="AJ803" s="36"/>
      <c r="A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AF804" s="36"/>
      <c r="AG804" s="36"/>
      <c r="AH804" s="36"/>
      <c r="AI804" s="36"/>
      <c r="AJ804" s="36"/>
      <c r="A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AF805" s="36"/>
      <c r="AG805" s="36"/>
      <c r="AH805" s="36"/>
      <c r="AI805" s="36"/>
      <c r="AJ805" s="36"/>
      <c r="A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AF806" s="36"/>
      <c r="AG806" s="36"/>
      <c r="AH806" s="36"/>
      <c r="AI806" s="36"/>
      <c r="AJ806" s="36"/>
      <c r="A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AF807" s="36"/>
      <c r="AG807" s="36"/>
      <c r="AH807" s="36"/>
      <c r="AI807" s="36"/>
      <c r="AJ807" s="36"/>
      <c r="A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AF808" s="36"/>
      <c r="AG808" s="36"/>
      <c r="AH808" s="36"/>
      <c r="AI808" s="36"/>
      <c r="AJ808" s="36"/>
      <c r="A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AF809" s="36"/>
      <c r="AG809" s="36"/>
      <c r="AH809" s="36"/>
      <c r="AI809" s="36"/>
      <c r="AJ809" s="36"/>
      <c r="A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AF810" s="36"/>
      <c r="AG810" s="36"/>
      <c r="AH810" s="36"/>
      <c r="AI810" s="36"/>
      <c r="AJ810" s="36"/>
      <c r="A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AF811" s="36"/>
      <c r="AG811" s="36"/>
      <c r="AH811" s="36"/>
      <c r="AI811" s="36"/>
      <c r="AJ811" s="36"/>
      <c r="A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AF812" s="36"/>
      <c r="AG812" s="36"/>
      <c r="AH812" s="36"/>
      <c r="AI812" s="36"/>
      <c r="AJ812" s="36"/>
      <c r="A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AF813" s="36"/>
      <c r="AG813" s="36"/>
      <c r="AH813" s="36"/>
      <c r="AI813" s="36"/>
      <c r="AJ813" s="36"/>
      <c r="A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AF814" s="36"/>
      <c r="AG814" s="36"/>
      <c r="AH814" s="36"/>
      <c r="AI814" s="36"/>
      <c r="AJ814" s="36"/>
      <c r="A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AF815" s="36"/>
      <c r="AG815" s="36"/>
      <c r="AH815" s="36"/>
      <c r="AI815" s="36"/>
      <c r="AJ815" s="36"/>
      <c r="A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AF816" s="36"/>
      <c r="AG816" s="36"/>
      <c r="AH816" s="36"/>
      <c r="AI816" s="36"/>
      <c r="AJ816" s="36"/>
      <c r="A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AF817" s="36"/>
      <c r="AG817" s="36"/>
      <c r="AH817" s="36"/>
      <c r="AI817" s="36"/>
      <c r="AJ817" s="36"/>
      <c r="A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AF818" s="36"/>
      <c r="AG818" s="36"/>
      <c r="AH818" s="36"/>
      <c r="AI818" s="36"/>
      <c r="AJ818" s="36"/>
      <c r="A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AF819" s="36"/>
      <c r="AG819" s="36"/>
      <c r="AH819" s="36"/>
      <c r="AI819" s="36"/>
      <c r="AJ819" s="36"/>
      <c r="A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AF820" s="36"/>
      <c r="AG820" s="36"/>
      <c r="AH820" s="36"/>
      <c r="AI820" s="36"/>
      <c r="AJ820" s="36"/>
      <c r="A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AF821" s="36"/>
      <c r="AG821" s="36"/>
      <c r="AH821" s="36"/>
      <c r="AI821" s="36"/>
      <c r="AJ821" s="36"/>
      <c r="A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AF822" s="36"/>
      <c r="AG822" s="36"/>
      <c r="AH822" s="36"/>
      <c r="AI822" s="36"/>
      <c r="AJ822" s="36"/>
      <c r="A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AF823" s="36"/>
      <c r="AG823" s="36"/>
      <c r="AH823" s="36"/>
      <c r="AI823" s="36"/>
      <c r="AJ823" s="36"/>
      <c r="A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AF824" s="36"/>
      <c r="AG824" s="36"/>
      <c r="AH824" s="36"/>
      <c r="AI824" s="36"/>
      <c r="AJ824" s="36"/>
      <c r="A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AF825" s="36"/>
      <c r="AG825" s="36"/>
      <c r="AH825" s="36"/>
      <c r="AI825" s="36"/>
      <c r="AJ825" s="36"/>
      <c r="A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AF826" s="36"/>
      <c r="AG826" s="36"/>
      <c r="AH826" s="36"/>
      <c r="AI826" s="36"/>
      <c r="AJ826" s="36"/>
      <c r="A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AF827" s="36"/>
      <c r="AG827" s="36"/>
      <c r="AH827" s="36"/>
      <c r="AI827" s="36"/>
      <c r="AJ827" s="36"/>
      <c r="A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AF828" s="36"/>
      <c r="AG828" s="36"/>
      <c r="AH828" s="36"/>
      <c r="AI828" s="36"/>
      <c r="AJ828" s="36"/>
      <c r="A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AF829" s="36"/>
      <c r="AG829" s="36"/>
      <c r="AH829" s="36"/>
      <c r="AI829" s="36"/>
      <c r="AJ829" s="36"/>
      <c r="A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AF830" s="36"/>
      <c r="AG830" s="36"/>
      <c r="AH830" s="36"/>
      <c r="AI830" s="36"/>
      <c r="AJ830" s="36"/>
      <c r="A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AF831" s="36"/>
      <c r="AG831" s="36"/>
      <c r="AH831" s="36"/>
      <c r="AI831" s="36"/>
      <c r="AJ831" s="36"/>
      <c r="A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AF832" s="36"/>
      <c r="AG832" s="36"/>
      <c r="AH832" s="36"/>
      <c r="AI832" s="36"/>
      <c r="AJ832" s="36"/>
      <c r="A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AF833" s="36"/>
      <c r="AG833" s="36"/>
      <c r="AH833" s="36"/>
      <c r="AI833" s="36"/>
      <c r="AJ833" s="36"/>
      <c r="A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AF834" s="36"/>
      <c r="AG834" s="36"/>
      <c r="AH834" s="36"/>
      <c r="AI834" s="36"/>
      <c r="AJ834" s="36"/>
      <c r="A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AF835" s="36"/>
      <c r="AG835" s="36"/>
      <c r="AH835" s="36"/>
      <c r="AI835" s="36"/>
      <c r="AJ835" s="36"/>
      <c r="A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AF836" s="36"/>
      <c r="AG836" s="36"/>
      <c r="AH836" s="36"/>
      <c r="AI836" s="36"/>
      <c r="AJ836" s="36"/>
      <c r="A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AF837" s="36"/>
      <c r="AG837" s="36"/>
      <c r="AH837" s="36"/>
      <c r="AI837" s="36"/>
      <c r="AJ837" s="36"/>
      <c r="A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AF838" s="36"/>
      <c r="AG838" s="36"/>
      <c r="AH838" s="36"/>
      <c r="AI838" s="36"/>
      <c r="AJ838" s="36"/>
      <c r="A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AF839" s="36"/>
      <c r="AG839" s="36"/>
      <c r="AH839" s="36"/>
      <c r="AI839" s="36"/>
      <c r="AJ839" s="36"/>
      <c r="A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AF840" s="36"/>
      <c r="AG840" s="36"/>
      <c r="AH840" s="36"/>
      <c r="AI840" s="36"/>
      <c r="AJ840" s="36"/>
      <c r="A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AF841" s="36"/>
      <c r="AG841" s="36"/>
      <c r="AH841" s="36"/>
      <c r="AI841" s="36"/>
      <c r="AJ841" s="36"/>
      <c r="A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AF842" s="36"/>
      <c r="AG842" s="36"/>
      <c r="AH842" s="36"/>
      <c r="AI842" s="36"/>
      <c r="AJ842" s="36"/>
      <c r="A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AF843" s="36"/>
      <c r="AG843" s="36"/>
      <c r="AH843" s="36"/>
      <c r="AI843" s="36"/>
      <c r="AJ843" s="36"/>
      <c r="A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AF844" s="36"/>
      <c r="AG844" s="36"/>
      <c r="AH844" s="36"/>
      <c r="AI844" s="36"/>
      <c r="AJ844" s="36"/>
      <c r="A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AF845" s="36"/>
      <c r="AG845" s="36"/>
      <c r="AH845" s="36"/>
      <c r="AI845" s="36"/>
      <c r="AJ845" s="36"/>
      <c r="A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AF846" s="36"/>
      <c r="AG846" s="36"/>
      <c r="AH846" s="36"/>
      <c r="AI846" s="36"/>
      <c r="AJ846" s="36"/>
      <c r="A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AF847" s="36"/>
      <c r="AG847" s="36"/>
      <c r="AH847" s="36"/>
      <c r="AI847" s="36"/>
      <c r="AJ847" s="36"/>
      <c r="A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AF848" s="36"/>
      <c r="AG848" s="36"/>
      <c r="AH848" s="36"/>
      <c r="AI848" s="36"/>
      <c r="AJ848" s="36"/>
      <c r="A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AF849" s="36"/>
      <c r="AG849" s="36"/>
      <c r="AH849" s="36"/>
      <c r="AI849" s="36"/>
      <c r="AJ849" s="36"/>
      <c r="A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AF850" s="36"/>
      <c r="AG850" s="36"/>
      <c r="AH850" s="36"/>
      <c r="AI850" s="36"/>
      <c r="AJ850" s="36"/>
      <c r="A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AF851" s="36"/>
      <c r="AG851" s="36"/>
      <c r="AH851" s="36"/>
      <c r="AI851" s="36"/>
      <c r="AJ851" s="36"/>
      <c r="A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AF852" s="36"/>
      <c r="AG852" s="36"/>
      <c r="AH852" s="36"/>
      <c r="AI852" s="36"/>
      <c r="AJ852" s="36"/>
      <c r="A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AF853" s="36"/>
      <c r="AG853" s="36"/>
      <c r="AH853" s="36"/>
      <c r="AI853" s="36"/>
      <c r="AJ853" s="36"/>
      <c r="A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AF854" s="36"/>
      <c r="AG854" s="36"/>
      <c r="AH854" s="36"/>
      <c r="AI854" s="36"/>
      <c r="AJ854" s="36"/>
      <c r="A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AF855" s="36"/>
      <c r="AG855" s="36"/>
      <c r="AH855" s="36"/>
      <c r="AI855" s="36"/>
      <c r="AJ855" s="36"/>
      <c r="A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AF856" s="36"/>
      <c r="AG856" s="36"/>
      <c r="AH856" s="36"/>
      <c r="AI856" s="36"/>
      <c r="AJ856" s="36"/>
      <c r="A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AF857" s="36"/>
      <c r="AG857" s="36"/>
      <c r="AH857" s="36"/>
      <c r="AI857" s="36"/>
      <c r="AJ857" s="36"/>
      <c r="A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AF858" s="36"/>
      <c r="AG858" s="36"/>
      <c r="AH858" s="36"/>
      <c r="AI858" s="36"/>
      <c r="AJ858" s="36"/>
      <c r="A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AF859" s="36"/>
      <c r="AG859" s="36"/>
      <c r="AH859" s="36"/>
      <c r="AI859" s="36"/>
      <c r="AJ859" s="36"/>
      <c r="A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AF860" s="36"/>
      <c r="AG860" s="36"/>
      <c r="AH860" s="36"/>
      <c r="AI860" s="36"/>
      <c r="AJ860" s="36"/>
      <c r="A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AF861" s="36"/>
      <c r="AG861" s="36"/>
      <c r="AH861" s="36"/>
      <c r="AI861" s="36"/>
      <c r="AJ861" s="36"/>
      <c r="A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AF862" s="36"/>
      <c r="AG862" s="36"/>
      <c r="AH862" s="36"/>
      <c r="AI862" s="36"/>
      <c r="AJ862" s="36"/>
      <c r="A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AF863" s="36"/>
      <c r="AG863" s="36"/>
      <c r="AH863" s="36"/>
      <c r="AI863" s="36"/>
      <c r="AJ863" s="36"/>
      <c r="A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AF864" s="36"/>
      <c r="AG864" s="36"/>
      <c r="AH864" s="36"/>
      <c r="AI864" s="36"/>
      <c r="AJ864" s="36"/>
      <c r="A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AF865" s="36"/>
      <c r="AG865" s="36"/>
      <c r="AH865" s="36"/>
      <c r="AI865" s="36"/>
      <c r="AJ865" s="36"/>
      <c r="A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AF866" s="36"/>
      <c r="AG866" s="36"/>
      <c r="AH866" s="36"/>
      <c r="AI866" s="36"/>
      <c r="AJ866" s="36"/>
      <c r="A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AF867" s="36"/>
      <c r="AG867" s="36"/>
      <c r="AH867" s="36"/>
      <c r="AI867" s="36"/>
      <c r="AJ867" s="36"/>
      <c r="A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AF868" s="36"/>
      <c r="AG868" s="36"/>
      <c r="AH868" s="36"/>
      <c r="AI868" s="36"/>
      <c r="AJ868" s="36"/>
      <c r="A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AF869" s="36"/>
      <c r="AG869" s="36"/>
      <c r="AH869" s="36"/>
      <c r="AI869" s="36"/>
      <c r="AJ869" s="36"/>
      <c r="A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AF870" s="36"/>
      <c r="AG870" s="36"/>
      <c r="AH870" s="36"/>
      <c r="AI870" s="36"/>
      <c r="AJ870" s="36"/>
      <c r="A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AF871" s="36"/>
      <c r="AG871" s="36"/>
      <c r="AH871" s="36"/>
      <c r="AI871" s="36"/>
      <c r="AJ871" s="36"/>
      <c r="A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AF872" s="36"/>
      <c r="AG872" s="36"/>
      <c r="AH872" s="36"/>
      <c r="AI872" s="36"/>
      <c r="AJ872" s="36"/>
      <c r="A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AF873" s="36"/>
      <c r="AG873" s="36"/>
      <c r="AH873" s="36"/>
      <c r="AI873" s="36"/>
      <c r="AJ873" s="36"/>
      <c r="A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AF874" s="36"/>
      <c r="AG874" s="36"/>
      <c r="AH874" s="36"/>
      <c r="AI874" s="36"/>
      <c r="AJ874" s="36"/>
      <c r="A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AF875" s="36"/>
      <c r="AG875" s="36"/>
      <c r="AH875" s="36"/>
      <c r="AI875" s="36"/>
      <c r="AJ875" s="36"/>
      <c r="A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AF876" s="36"/>
      <c r="AG876" s="36"/>
      <c r="AH876" s="36"/>
      <c r="AI876" s="36"/>
      <c r="AJ876" s="36"/>
      <c r="A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AF877" s="36"/>
      <c r="AG877" s="36"/>
      <c r="AH877" s="36"/>
      <c r="AI877" s="36"/>
      <c r="AJ877" s="36"/>
      <c r="A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AF878" s="36"/>
      <c r="AG878" s="36"/>
      <c r="AH878" s="36"/>
      <c r="AI878" s="36"/>
      <c r="AJ878" s="36"/>
      <c r="A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AF879" s="36"/>
      <c r="AG879" s="36"/>
      <c r="AH879" s="36"/>
      <c r="AI879" s="36"/>
      <c r="AJ879" s="36"/>
      <c r="A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AF880" s="36"/>
      <c r="AG880" s="36"/>
      <c r="AH880" s="36"/>
      <c r="AI880" s="36"/>
      <c r="AJ880" s="36"/>
      <c r="A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AF881" s="36"/>
      <c r="AG881" s="36"/>
      <c r="AH881" s="36"/>
      <c r="AI881" s="36"/>
      <c r="AJ881" s="36"/>
      <c r="A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AF882" s="36"/>
      <c r="AG882" s="36"/>
      <c r="AH882" s="36"/>
      <c r="AI882" s="36"/>
      <c r="AJ882" s="36"/>
      <c r="A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AF883" s="36"/>
      <c r="AG883" s="36"/>
      <c r="AH883" s="36"/>
      <c r="AI883" s="36"/>
      <c r="AJ883" s="36"/>
      <c r="A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AF884" s="36"/>
      <c r="AG884" s="36"/>
      <c r="AH884" s="36"/>
      <c r="AI884" s="36"/>
      <c r="AJ884" s="36"/>
      <c r="A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AF885" s="36"/>
      <c r="AG885" s="36"/>
      <c r="AH885" s="36"/>
      <c r="AI885" s="36"/>
      <c r="AJ885" s="36"/>
      <c r="A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AF886" s="36"/>
      <c r="AG886" s="36"/>
      <c r="AH886" s="36"/>
      <c r="AI886" s="36"/>
      <c r="AJ886" s="36"/>
      <c r="A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AF887" s="36"/>
      <c r="AG887" s="36"/>
      <c r="AH887" s="36"/>
      <c r="AI887" s="36"/>
      <c r="AJ887" s="36"/>
      <c r="A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AF888" s="36"/>
      <c r="AG888" s="36"/>
      <c r="AH888" s="36"/>
      <c r="AI888" s="36"/>
      <c r="AJ888" s="36"/>
      <c r="A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AF889" s="36"/>
      <c r="AG889" s="36"/>
      <c r="AH889" s="36"/>
      <c r="AI889" s="36"/>
      <c r="AJ889" s="36"/>
      <c r="A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AF890" s="36"/>
      <c r="AG890" s="36"/>
      <c r="AH890" s="36"/>
      <c r="AI890" s="36"/>
      <c r="AJ890" s="36"/>
      <c r="A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AF891" s="36"/>
      <c r="AG891" s="36"/>
      <c r="AH891" s="36"/>
      <c r="AI891" s="36"/>
      <c r="AJ891" s="36"/>
      <c r="A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AF892" s="36"/>
      <c r="AG892" s="36"/>
      <c r="AH892" s="36"/>
      <c r="AI892" s="36"/>
      <c r="AJ892" s="36"/>
      <c r="A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AF893" s="36"/>
      <c r="AG893" s="36"/>
      <c r="AH893" s="36"/>
      <c r="AI893" s="36"/>
      <c r="AJ893" s="36"/>
      <c r="A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AF894" s="36"/>
      <c r="AG894" s="36"/>
      <c r="AH894" s="36"/>
      <c r="AI894" s="36"/>
      <c r="AJ894" s="36"/>
      <c r="A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AF895" s="36"/>
      <c r="AG895" s="36"/>
      <c r="AH895" s="36"/>
      <c r="AI895" s="36"/>
      <c r="AJ895" s="36"/>
      <c r="A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AF896" s="36"/>
      <c r="AG896" s="36"/>
      <c r="AH896" s="36"/>
      <c r="AI896" s="36"/>
      <c r="AJ896" s="36"/>
      <c r="A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AF897" s="36"/>
      <c r="AG897" s="36"/>
      <c r="AH897" s="36"/>
      <c r="AI897" s="36"/>
      <c r="AJ897" s="36"/>
      <c r="A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AF898" s="36"/>
      <c r="AG898" s="36"/>
      <c r="AH898" s="36"/>
      <c r="AI898" s="36"/>
      <c r="AJ898" s="36"/>
      <c r="A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AF899" s="36"/>
      <c r="AG899" s="36"/>
      <c r="AH899" s="36"/>
      <c r="AI899" s="36"/>
      <c r="AJ899" s="36"/>
      <c r="A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AF900" s="36"/>
      <c r="AG900" s="36"/>
      <c r="AH900" s="36"/>
      <c r="AI900" s="36"/>
      <c r="AJ900" s="36"/>
      <c r="A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AF901" s="36"/>
      <c r="AG901" s="36"/>
      <c r="AH901" s="36"/>
      <c r="AI901" s="36"/>
      <c r="AJ901" s="36"/>
      <c r="A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AF902" s="36"/>
      <c r="AG902" s="36"/>
      <c r="AH902" s="36"/>
      <c r="AI902" s="36"/>
      <c r="AJ902" s="36"/>
      <c r="A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AF903" s="36"/>
      <c r="AG903" s="36"/>
      <c r="AH903" s="36"/>
      <c r="AI903" s="36"/>
      <c r="AJ903" s="36"/>
      <c r="A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AF904" s="36"/>
      <c r="AG904" s="36"/>
      <c r="AH904" s="36"/>
      <c r="AI904" s="36"/>
      <c r="AJ904" s="36"/>
      <c r="A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AF905" s="36"/>
      <c r="AG905" s="36"/>
      <c r="AH905" s="36"/>
      <c r="AI905" s="36"/>
      <c r="AJ905" s="36"/>
      <c r="A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AF906" s="36"/>
      <c r="AG906" s="36"/>
      <c r="AH906" s="36"/>
      <c r="AI906" s="36"/>
      <c r="AJ906" s="36"/>
      <c r="A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AF907" s="36"/>
      <c r="AG907" s="36"/>
      <c r="AH907" s="36"/>
      <c r="AI907" s="36"/>
      <c r="AJ907" s="36"/>
      <c r="A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AF908" s="36"/>
      <c r="AG908" s="36"/>
      <c r="AH908" s="36"/>
      <c r="AI908" s="36"/>
      <c r="AJ908" s="36"/>
      <c r="A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AF909" s="36"/>
      <c r="AG909" s="36"/>
      <c r="AH909" s="36"/>
      <c r="AI909" s="36"/>
      <c r="AJ909" s="36"/>
      <c r="A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AF910" s="36"/>
      <c r="AG910" s="36"/>
      <c r="AH910" s="36"/>
      <c r="AI910" s="36"/>
      <c r="AJ910" s="36"/>
      <c r="A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AF911" s="36"/>
      <c r="AG911" s="36"/>
      <c r="AH911" s="36"/>
      <c r="AI911" s="36"/>
      <c r="AJ911" s="36"/>
      <c r="A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AF912" s="36"/>
      <c r="AG912" s="36"/>
      <c r="AH912" s="36"/>
      <c r="AI912" s="36"/>
      <c r="AJ912" s="36"/>
      <c r="A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AF913" s="36"/>
      <c r="AG913" s="36"/>
      <c r="AH913" s="36"/>
      <c r="AI913" s="36"/>
      <c r="AJ913" s="36"/>
      <c r="A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AF914" s="36"/>
      <c r="AG914" s="36"/>
      <c r="AH914" s="36"/>
      <c r="AI914" s="36"/>
      <c r="AJ914" s="36"/>
      <c r="A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AF915" s="36"/>
      <c r="AG915" s="36"/>
      <c r="AH915" s="36"/>
      <c r="AI915" s="36"/>
      <c r="AJ915" s="36"/>
      <c r="A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AF916" s="36"/>
      <c r="AG916" s="36"/>
      <c r="AH916" s="36"/>
      <c r="AI916" s="36"/>
      <c r="AJ916" s="36"/>
      <c r="A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AF917" s="36"/>
      <c r="AG917" s="36"/>
      <c r="AH917" s="36"/>
      <c r="AI917" s="36"/>
      <c r="AJ917" s="36"/>
      <c r="A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AF918" s="36"/>
      <c r="AG918" s="36"/>
      <c r="AH918" s="36"/>
      <c r="AI918" s="36"/>
      <c r="AJ918" s="36"/>
      <c r="A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AF919" s="36"/>
      <c r="AG919" s="36"/>
      <c r="AH919" s="36"/>
      <c r="AI919" s="36"/>
      <c r="AJ919" s="36"/>
      <c r="A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AF920" s="36"/>
      <c r="AG920" s="36"/>
      <c r="AH920" s="36"/>
      <c r="AI920" s="36"/>
      <c r="AJ920" s="36"/>
      <c r="A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AF921" s="36"/>
      <c r="AG921" s="36"/>
      <c r="AH921" s="36"/>
      <c r="AI921" s="36"/>
      <c r="AJ921" s="36"/>
      <c r="A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AF922" s="36"/>
      <c r="AG922" s="36"/>
      <c r="AH922" s="36"/>
      <c r="AI922" s="36"/>
      <c r="AJ922" s="36"/>
      <c r="A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AF923" s="36"/>
      <c r="AG923" s="36"/>
      <c r="AH923" s="36"/>
      <c r="AI923" s="36"/>
      <c r="AJ923" s="36"/>
      <c r="A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AF924" s="36"/>
      <c r="AG924" s="36"/>
      <c r="AH924" s="36"/>
      <c r="AI924" s="36"/>
      <c r="AJ924" s="36"/>
      <c r="A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AF925" s="36"/>
      <c r="AG925" s="36"/>
      <c r="AH925" s="36"/>
      <c r="AI925" s="36"/>
      <c r="AJ925" s="36"/>
      <c r="A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AF926" s="36"/>
      <c r="AG926" s="36"/>
      <c r="AH926" s="36"/>
      <c r="AI926" s="36"/>
      <c r="AJ926" s="36"/>
      <c r="A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AF927" s="36"/>
      <c r="AG927" s="36"/>
      <c r="AH927" s="36"/>
      <c r="AI927" s="36"/>
      <c r="AJ927" s="36"/>
      <c r="A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AF928" s="36"/>
      <c r="AG928" s="36"/>
      <c r="AH928" s="36"/>
      <c r="AI928" s="36"/>
      <c r="AJ928" s="36"/>
      <c r="A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AF929" s="36"/>
      <c r="AG929" s="36"/>
      <c r="AH929" s="36"/>
      <c r="AI929" s="36"/>
      <c r="AJ929" s="36"/>
      <c r="A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AF930" s="36"/>
      <c r="AG930" s="36"/>
      <c r="AH930" s="36"/>
      <c r="AI930" s="36"/>
      <c r="AJ930" s="36"/>
      <c r="A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AF931" s="36"/>
      <c r="AG931" s="36"/>
      <c r="AH931" s="36"/>
      <c r="AI931" s="36"/>
      <c r="AJ931" s="36"/>
      <c r="A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AF932" s="36"/>
      <c r="AG932" s="36"/>
      <c r="AH932" s="36"/>
      <c r="AI932" s="36"/>
      <c r="AJ932" s="36"/>
      <c r="A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AF933" s="36"/>
      <c r="AG933" s="36"/>
      <c r="AH933" s="36"/>
      <c r="AI933" s="36"/>
      <c r="AJ933" s="36"/>
      <c r="A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AF934" s="36"/>
      <c r="AG934" s="36"/>
      <c r="AH934" s="36"/>
      <c r="AI934" s="36"/>
      <c r="AJ934" s="36"/>
      <c r="A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AF935" s="36"/>
      <c r="AG935" s="36"/>
      <c r="AH935" s="36"/>
      <c r="AI935" s="36"/>
      <c r="AJ935" s="36"/>
      <c r="A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AF936" s="36"/>
      <c r="AG936" s="36"/>
      <c r="AH936" s="36"/>
      <c r="AI936" s="36"/>
      <c r="AJ936" s="36"/>
      <c r="A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AF937" s="36"/>
      <c r="AG937" s="36"/>
      <c r="AH937" s="36"/>
      <c r="AI937" s="36"/>
      <c r="AJ937" s="36"/>
      <c r="A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AF938" s="36"/>
      <c r="AG938" s="36"/>
      <c r="AH938" s="36"/>
      <c r="AI938" s="36"/>
      <c r="AJ938" s="36"/>
      <c r="A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AF939" s="36"/>
      <c r="AG939" s="36"/>
      <c r="AH939" s="36"/>
      <c r="AI939" s="36"/>
      <c r="AJ939" s="36"/>
      <c r="A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AF940" s="36"/>
      <c r="AG940" s="36"/>
      <c r="AH940" s="36"/>
      <c r="AI940" s="36"/>
      <c r="AJ940" s="36"/>
      <c r="A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AF941" s="36"/>
      <c r="AG941" s="36"/>
      <c r="AH941" s="36"/>
      <c r="AI941" s="36"/>
      <c r="AJ941" s="36"/>
      <c r="A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AF942" s="36"/>
      <c r="AG942" s="36"/>
      <c r="AH942" s="36"/>
      <c r="AI942" s="36"/>
      <c r="AJ942" s="36"/>
      <c r="A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AF943" s="36"/>
      <c r="AG943" s="36"/>
      <c r="AH943" s="36"/>
      <c r="AI943" s="36"/>
      <c r="AJ943" s="36"/>
      <c r="A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AF944" s="36"/>
      <c r="AG944" s="36"/>
      <c r="AH944" s="36"/>
      <c r="AI944" s="36"/>
      <c r="AJ944" s="36"/>
      <c r="A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AF945" s="36"/>
      <c r="AG945" s="36"/>
      <c r="AH945" s="36"/>
      <c r="AI945" s="36"/>
      <c r="AJ945" s="36"/>
      <c r="A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AF946" s="36"/>
      <c r="AG946" s="36"/>
      <c r="AH946" s="36"/>
      <c r="AI946" s="36"/>
      <c r="AJ946" s="36"/>
      <c r="A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AF947" s="36"/>
      <c r="AG947" s="36"/>
      <c r="AH947" s="36"/>
      <c r="AI947" s="36"/>
      <c r="AJ947" s="36"/>
      <c r="A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AF948" s="36"/>
      <c r="AG948" s="36"/>
      <c r="AH948" s="36"/>
      <c r="AI948" s="36"/>
      <c r="AJ948" s="36"/>
      <c r="A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AF949" s="36"/>
      <c r="AG949" s="36"/>
      <c r="AH949" s="36"/>
      <c r="AI949" s="36"/>
      <c r="AJ949" s="36"/>
      <c r="A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AF950" s="36"/>
      <c r="AG950" s="36"/>
      <c r="AH950" s="36"/>
      <c r="AI950" s="36"/>
      <c r="AJ950" s="36"/>
      <c r="A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AF951" s="36"/>
      <c r="AG951" s="36"/>
      <c r="AH951" s="36"/>
      <c r="AI951" s="36"/>
      <c r="AJ951" s="36"/>
      <c r="A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AF952" s="36"/>
      <c r="AG952" s="36"/>
      <c r="AH952" s="36"/>
      <c r="AI952" s="36"/>
      <c r="AJ952" s="36"/>
      <c r="A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AF953" s="36"/>
      <c r="AG953" s="36"/>
      <c r="AH953" s="36"/>
      <c r="AI953" s="36"/>
      <c r="AJ953" s="36"/>
      <c r="A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AF954" s="36"/>
      <c r="AG954" s="36"/>
      <c r="AH954" s="36"/>
      <c r="AI954" s="36"/>
      <c r="AJ954" s="36"/>
      <c r="A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AF955" s="36"/>
      <c r="AG955" s="36"/>
      <c r="AH955" s="36"/>
      <c r="AI955" s="36"/>
      <c r="AJ955" s="36"/>
      <c r="A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AF956" s="36"/>
      <c r="AG956" s="36"/>
      <c r="AH956" s="36"/>
      <c r="AI956" s="36"/>
      <c r="AJ956" s="36"/>
      <c r="A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AF957" s="36"/>
      <c r="AG957" s="36"/>
      <c r="AH957" s="36"/>
      <c r="AI957" s="36"/>
      <c r="AJ957" s="36"/>
      <c r="A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AF958" s="36"/>
      <c r="AG958" s="36"/>
      <c r="AH958" s="36"/>
      <c r="AI958" s="36"/>
      <c r="AJ958" s="36"/>
      <c r="A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AF959" s="36"/>
      <c r="AG959" s="36"/>
      <c r="AH959" s="36"/>
      <c r="AI959" s="36"/>
      <c r="AJ959" s="36"/>
      <c r="A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AF960" s="36"/>
      <c r="AG960" s="36"/>
      <c r="AH960" s="36"/>
      <c r="AI960" s="36"/>
      <c r="AJ960" s="36"/>
      <c r="A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AF961" s="36"/>
      <c r="AG961" s="36"/>
      <c r="AH961" s="36"/>
      <c r="AI961" s="36"/>
      <c r="AJ961" s="36"/>
      <c r="A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AF962" s="36"/>
      <c r="AG962" s="36"/>
      <c r="AH962" s="36"/>
      <c r="AI962" s="36"/>
      <c r="AJ962" s="36"/>
      <c r="A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AF963" s="36"/>
      <c r="AG963" s="36"/>
      <c r="AH963" s="36"/>
      <c r="AI963" s="36"/>
      <c r="AJ963" s="36"/>
      <c r="A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AF964" s="36"/>
      <c r="AG964" s="36"/>
      <c r="AH964" s="36"/>
      <c r="AI964" s="36"/>
      <c r="AJ964" s="36"/>
      <c r="A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AF965" s="36"/>
      <c r="AG965" s="36"/>
      <c r="AH965" s="36"/>
      <c r="AI965" s="36"/>
      <c r="AJ965" s="36"/>
      <c r="A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AF966" s="36"/>
      <c r="AG966" s="36"/>
      <c r="AH966" s="36"/>
      <c r="AI966" s="36"/>
      <c r="AJ966" s="36"/>
      <c r="A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AF967" s="36"/>
      <c r="AG967" s="36"/>
      <c r="AH967" s="36"/>
      <c r="AI967" s="36"/>
      <c r="AJ967" s="36"/>
      <c r="A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AF968" s="36"/>
      <c r="AG968" s="36"/>
      <c r="AH968" s="36"/>
      <c r="AI968" s="36"/>
      <c r="AJ968" s="36"/>
      <c r="A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AF969" s="36"/>
      <c r="AG969" s="36"/>
      <c r="AH969" s="36"/>
      <c r="AI969" s="36"/>
      <c r="AJ969" s="36"/>
      <c r="A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AF970" s="36"/>
      <c r="AG970" s="36"/>
      <c r="AH970" s="36"/>
      <c r="AI970" s="36"/>
      <c r="AJ970" s="36"/>
      <c r="A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AF971" s="36"/>
      <c r="AG971" s="36"/>
      <c r="AH971" s="36"/>
      <c r="AI971" s="36"/>
      <c r="AJ971" s="36"/>
      <c r="A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AF972" s="36"/>
      <c r="AG972" s="36"/>
      <c r="AH972" s="36"/>
      <c r="AI972" s="36"/>
      <c r="AJ972" s="36"/>
      <c r="A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AF973" s="36"/>
      <c r="AG973" s="36"/>
      <c r="AH973" s="36"/>
      <c r="AI973" s="36"/>
      <c r="AJ973" s="36"/>
      <c r="A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AF974" s="36"/>
      <c r="AG974" s="36"/>
      <c r="AH974" s="36"/>
      <c r="AI974" s="36"/>
      <c r="AJ974" s="36"/>
      <c r="A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AF975" s="36"/>
      <c r="AG975" s="36"/>
      <c r="AH975" s="36"/>
      <c r="AI975" s="36"/>
      <c r="AJ975" s="36"/>
      <c r="A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AF976" s="36"/>
      <c r="AG976" s="36"/>
      <c r="AH976" s="36"/>
      <c r="AI976" s="36"/>
      <c r="AJ976" s="36"/>
      <c r="A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AF977" s="36"/>
      <c r="AG977" s="36"/>
      <c r="AH977" s="36"/>
      <c r="AI977" s="36"/>
      <c r="AJ977" s="36"/>
      <c r="A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AF978" s="36"/>
      <c r="AG978" s="36"/>
      <c r="AH978" s="36"/>
      <c r="AI978" s="36"/>
      <c r="AJ978" s="36"/>
      <c r="A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AF979" s="36"/>
      <c r="AG979" s="36"/>
      <c r="AH979" s="36"/>
      <c r="AI979" s="36"/>
      <c r="AJ979" s="36"/>
      <c r="A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AF980" s="36"/>
      <c r="AG980" s="36"/>
      <c r="AH980" s="36"/>
      <c r="AI980" s="36"/>
      <c r="AJ980" s="36"/>
      <c r="A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AF981" s="36"/>
      <c r="AG981" s="36"/>
      <c r="AH981" s="36"/>
      <c r="AI981" s="36"/>
      <c r="AJ981" s="36"/>
      <c r="A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AF982" s="36"/>
      <c r="AG982" s="36"/>
      <c r="AH982" s="36"/>
      <c r="AI982" s="36"/>
      <c r="AJ982" s="36"/>
      <c r="A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AF983" s="36"/>
      <c r="AG983" s="36"/>
      <c r="AH983" s="36"/>
      <c r="AI983" s="36"/>
      <c r="AJ983" s="36"/>
      <c r="A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AF984" s="36"/>
      <c r="AG984" s="36"/>
      <c r="AH984" s="36"/>
      <c r="AI984" s="36"/>
      <c r="AJ984" s="36"/>
      <c r="A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AF985" s="36"/>
      <c r="AG985" s="36"/>
      <c r="AH985" s="36"/>
      <c r="AI985" s="36"/>
      <c r="AJ985" s="36"/>
      <c r="A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AF986" s="36"/>
      <c r="AG986" s="36"/>
      <c r="AH986" s="36"/>
      <c r="AI986" s="36"/>
      <c r="AJ986" s="36"/>
      <c r="A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AF987" s="36"/>
      <c r="AG987" s="36"/>
      <c r="AH987" s="36"/>
      <c r="AI987" s="36"/>
      <c r="AJ987" s="36"/>
      <c r="A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AF988" s="36"/>
      <c r="AG988" s="36"/>
      <c r="AH988" s="36"/>
      <c r="AI988" s="36"/>
      <c r="AJ988" s="36"/>
      <c r="A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AF989" s="36"/>
      <c r="AG989" s="36"/>
      <c r="AH989" s="36"/>
      <c r="AI989" s="36"/>
      <c r="AJ989" s="36"/>
      <c r="A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AF990" s="36"/>
      <c r="AG990" s="36"/>
      <c r="AH990" s="36"/>
      <c r="AI990" s="36"/>
      <c r="AJ990" s="36"/>
      <c r="A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AF991" s="36"/>
      <c r="AG991" s="36"/>
      <c r="AH991" s="36"/>
      <c r="AI991" s="36"/>
      <c r="AJ991" s="36"/>
      <c r="A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AF992" s="36"/>
      <c r="AG992" s="36"/>
      <c r="AH992" s="36"/>
      <c r="AI992" s="36"/>
      <c r="AJ992" s="36"/>
      <c r="A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AF993" s="36"/>
      <c r="AG993" s="36"/>
      <c r="AH993" s="36"/>
      <c r="AI993" s="36"/>
      <c r="AJ993" s="36"/>
      <c r="A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AF994" s="36"/>
      <c r="AG994" s="36"/>
      <c r="AH994" s="36"/>
      <c r="AI994" s="36"/>
      <c r="AJ994" s="36"/>
      <c r="A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AF995" s="36"/>
      <c r="AG995" s="36"/>
      <c r="AH995" s="36"/>
      <c r="AI995" s="36"/>
      <c r="AJ995" s="36"/>
      <c r="A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AF996" s="36"/>
      <c r="AG996" s="36"/>
      <c r="AH996" s="36"/>
      <c r="AI996" s="36"/>
      <c r="AJ996" s="36"/>
      <c r="A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AF997" s="36"/>
      <c r="AG997" s="36"/>
      <c r="AH997" s="36"/>
      <c r="AI997" s="36"/>
      <c r="AJ997" s="36"/>
      <c r="A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AF998" s="36"/>
      <c r="AG998" s="36"/>
      <c r="AH998" s="36"/>
      <c r="AI998" s="36"/>
      <c r="AJ998" s="36"/>
      <c r="A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AF999" s="36"/>
      <c r="AG999" s="36"/>
      <c r="AH999" s="36"/>
      <c r="AI999" s="36"/>
      <c r="AJ999" s="36"/>
      <c r="A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AF1000" s="36"/>
      <c r="AG1000" s="36"/>
      <c r="AH1000" s="36"/>
      <c r="AI1000" s="36"/>
      <c r="AJ1000" s="36"/>
      <c r="AK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AF1001" s="36"/>
      <c r="AG1001" s="36"/>
      <c r="AH1001" s="36"/>
      <c r="AI1001" s="36"/>
      <c r="AJ1001" s="36"/>
      <c r="AK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AF1002" s="36"/>
      <c r="AG1002" s="36"/>
      <c r="AH1002" s="36"/>
      <c r="AI1002" s="36"/>
      <c r="AJ1002" s="36"/>
      <c r="AK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AF1003" s="36"/>
      <c r="AG1003" s="36"/>
      <c r="AH1003" s="36"/>
      <c r="AI1003" s="36"/>
      <c r="AJ1003" s="36"/>
      <c r="AK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AF1004" s="36"/>
      <c r="AG1004" s="36"/>
      <c r="AH1004" s="36"/>
      <c r="AI1004" s="36"/>
      <c r="AJ1004" s="36"/>
      <c r="AK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AF1005" s="36"/>
      <c r="AG1005" s="36"/>
      <c r="AH1005" s="36"/>
      <c r="AI1005" s="36"/>
      <c r="AJ1005" s="36"/>
      <c r="AK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AF1006" s="36"/>
      <c r="AG1006" s="36"/>
      <c r="AH1006" s="36"/>
      <c r="AI1006" s="36"/>
      <c r="AJ1006" s="36"/>
      <c r="AK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AF1007" s="36"/>
      <c r="AG1007" s="36"/>
      <c r="AH1007" s="36"/>
      <c r="AI1007" s="36"/>
      <c r="AJ1007" s="36"/>
      <c r="AK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AF1008" s="36"/>
      <c r="AG1008" s="36"/>
      <c r="AH1008" s="36"/>
      <c r="AI1008" s="36"/>
      <c r="AJ1008" s="36"/>
      <c r="AK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AF1009" s="36"/>
      <c r="AG1009" s="36"/>
      <c r="AH1009" s="36"/>
      <c r="AI1009" s="36"/>
      <c r="AJ1009" s="36"/>
      <c r="AK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AF1010" s="36"/>
      <c r="AG1010" s="36"/>
      <c r="AH1010" s="36"/>
      <c r="AI1010" s="36"/>
      <c r="AJ1010" s="36"/>
      <c r="AK1010" s="36"/>
    </row>
    <row r="101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AF1011" s="36"/>
      <c r="AG1011" s="36"/>
      <c r="AH1011" s="36"/>
      <c r="AI1011" s="36"/>
      <c r="AJ1011" s="36"/>
      <c r="AK1011" s="36"/>
    </row>
    <row r="1012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AF1012" s="36"/>
      <c r="AG1012" s="36"/>
      <c r="AH1012" s="36"/>
      <c r="AI1012" s="36"/>
      <c r="AJ1012" s="36"/>
      <c r="AK1012" s="36"/>
    </row>
    <row r="1013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AF1013" s="36"/>
      <c r="AG1013" s="36"/>
      <c r="AH1013" s="36"/>
      <c r="AI1013" s="36"/>
      <c r="AJ1013" s="36"/>
      <c r="AK1013" s="36"/>
    </row>
    <row r="1014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AF1014" s="36"/>
      <c r="AG1014" s="36"/>
      <c r="AH1014" s="36"/>
      <c r="AI1014" s="36"/>
      <c r="AJ1014" s="36"/>
      <c r="AK1014" s="36"/>
    </row>
    <row r="1015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AF1015" s="36"/>
      <c r="AG1015" s="36"/>
      <c r="AH1015" s="36"/>
      <c r="AI1015" s="36"/>
      <c r="AJ1015" s="36"/>
      <c r="AK1015" s="36"/>
    </row>
    <row r="1016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AF1016" s="36"/>
      <c r="AG1016" s="36"/>
      <c r="AH1016" s="36"/>
      <c r="AI1016" s="36"/>
      <c r="AJ1016" s="36"/>
      <c r="AK1016" s="36"/>
    </row>
    <row r="1017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AF1017" s="36"/>
      <c r="AG1017" s="36"/>
      <c r="AH1017" s="36"/>
      <c r="AI1017" s="36"/>
      <c r="AJ1017" s="36"/>
      <c r="AK1017" s="36"/>
    </row>
    <row r="1018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AF1018" s="36"/>
      <c r="AG1018" s="36"/>
      <c r="AH1018" s="36"/>
      <c r="AI1018" s="36"/>
      <c r="AJ1018" s="36"/>
      <c r="AK1018" s="36"/>
    </row>
    <row r="1019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AF1019" s="36"/>
      <c r="AG1019" s="36"/>
      <c r="AH1019" s="36"/>
      <c r="AI1019" s="36"/>
      <c r="AJ1019" s="36"/>
      <c r="AK1019" s="36"/>
    </row>
  </sheetData>
  <mergeCells count="96">
    <mergeCell ref="P41:Q41"/>
    <mergeCell ref="R41:S41"/>
    <mergeCell ref="T41:U41"/>
    <mergeCell ref="V41:W41"/>
    <mergeCell ref="X41:Y41"/>
    <mergeCell ref="Z41:AA41"/>
    <mergeCell ref="AB41:AC41"/>
    <mergeCell ref="AD41:AE41"/>
    <mergeCell ref="B41:C41"/>
    <mergeCell ref="D41:E41"/>
    <mergeCell ref="F41:G41"/>
    <mergeCell ref="H41:I41"/>
    <mergeCell ref="J41:K41"/>
    <mergeCell ref="L41:M41"/>
    <mergeCell ref="N41:O41"/>
    <mergeCell ref="P47:Q47"/>
    <mergeCell ref="R47:S47"/>
    <mergeCell ref="T47:U47"/>
    <mergeCell ref="V47:W47"/>
    <mergeCell ref="X47:Y47"/>
    <mergeCell ref="Z47:AA47"/>
    <mergeCell ref="AB47:AC47"/>
    <mergeCell ref="AD47:AE47"/>
    <mergeCell ref="B47:C47"/>
    <mergeCell ref="D47:E47"/>
    <mergeCell ref="F47:G47"/>
    <mergeCell ref="H47:I47"/>
    <mergeCell ref="J47:K47"/>
    <mergeCell ref="L47:M47"/>
    <mergeCell ref="N47:O47"/>
    <mergeCell ref="P53:Q53"/>
    <mergeCell ref="R53:S53"/>
    <mergeCell ref="T53:U53"/>
    <mergeCell ref="V53:W53"/>
    <mergeCell ref="X53:Y53"/>
    <mergeCell ref="Z53:AA53"/>
    <mergeCell ref="AB53:AC53"/>
    <mergeCell ref="AD53:AE53"/>
    <mergeCell ref="B56:D56"/>
    <mergeCell ref="E56:G56"/>
    <mergeCell ref="H56:J56"/>
    <mergeCell ref="K56:M56"/>
    <mergeCell ref="N56:P56"/>
    <mergeCell ref="B53:C53"/>
    <mergeCell ref="D53:E53"/>
    <mergeCell ref="F53:G53"/>
    <mergeCell ref="H53:I53"/>
    <mergeCell ref="J53:K53"/>
    <mergeCell ref="L53:M53"/>
    <mergeCell ref="N53:O53"/>
    <mergeCell ref="AA2:AB2"/>
    <mergeCell ref="AC2:AD2"/>
    <mergeCell ref="B1:D1"/>
    <mergeCell ref="E1:G1"/>
    <mergeCell ref="H1:J1"/>
    <mergeCell ref="K1:M1"/>
    <mergeCell ref="N1:P1"/>
    <mergeCell ref="Y1:AD1"/>
    <mergeCell ref="U2:V2"/>
    <mergeCell ref="W2:X2"/>
    <mergeCell ref="Y2:Z2"/>
    <mergeCell ref="B28:G28"/>
    <mergeCell ref="H28:M28"/>
    <mergeCell ref="N28:S28"/>
    <mergeCell ref="T28:Y28"/>
    <mergeCell ref="Z28:AE28"/>
    <mergeCell ref="P29:Q29"/>
    <mergeCell ref="R29:S29"/>
    <mergeCell ref="T29:U29"/>
    <mergeCell ref="V29:W29"/>
    <mergeCell ref="X29:Y29"/>
    <mergeCell ref="Z29:AA29"/>
    <mergeCell ref="AB29:AC29"/>
    <mergeCell ref="AD29:AE29"/>
    <mergeCell ref="B29:C29"/>
    <mergeCell ref="D29:E29"/>
    <mergeCell ref="F29:G29"/>
    <mergeCell ref="H29:I29"/>
    <mergeCell ref="J29:K29"/>
    <mergeCell ref="L29:M29"/>
    <mergeCell ref="N29:O29"/>
    <mergeCell ref="P35:Q35"/>
    <mergeCell ref="R35:S35"/>
    <mergeCell ref="T35:U35"/>
    <mergeCell ref="V35:W35"/>
    <mergeCell ref="X35:Y35"/>
    <mergeCell ref="Z35:AA35"/>
    <mergeCell ref="AB35:AC35"/>
    <mergeCell ref="AD35:AE35"/>
    <mergeCell ref="B35:C35"/>
    <mergeCell ref="D35:E35"/>
    <mergeCell ref="F35:G35"/>
    <mergeCell ref="H35:I35"/>
    <mergeCell ref="J35:K35"/>
    <mergeCell ref="L35:M35"/>
    <mergeCell ref="N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5"/>
    <col customWidth="1" min="2" max="3" width="8.5"/>
    <col customWidth="1" min="4" max="5" width="7.5"/>
    <col customWidth="1" min="6" max="7" width="7.25"/>
    <col customWidth="1" min="8" max="9" width="10.0"/>
    <col customWidth="1" min="10" max="11" width="10.25"/>
    <col customWidth="1" min="12" max="13" width="8.38"/>
    <col customWidth="1" min="14" max="15" width="11.75"/>
  </cols>
  <sheetData>
    <row r="1">
      <c r="A1" s="1" t="s">
        <v>151</v>
      </c>
      <c r="B1" s="5" t="s">
        <v>2</v>
      </c>
      <c r="C1" s="3"/>
      <c r="D1" s="4"/>
      <c r="E1" s="6" t="s">
        <v>3</v>
      </c>
      <c r="F1" s="3"/>
      <c r="G1" s="4"/>
      <c r="H1" s="7" t="s">
        <v>4</v>
      </c>
      <c r="I1" s="3"/>
      <c r="J1" s="4"/>
      <c r="K1" s="8" t="s">
        <v>5</v>
      </c>
      <c r="L1" s="3"/>
      <c r="M1" s="4"/>
      <c r="N1" s="9" t="s">
        <v>6</v>
      </c>
      <c r="O1" s="3"/>
      <c r="P1" s="4"/>
      <c r="T1" s="105"/>
      <c r="U1" s="105"/>
      <c r="V1" s="105"/>
      <c r="W1" s="105"/>
      <c r="X1" s="105"/>
      <c r="Y1" s="105"/>
    </row>
    <row r="2">
      <c r="A2" s="10" t="s">
        <v>7</v>
      </c>
      <c r="B2" s="12">
        <v>4096.0</v>
      </c>
      <c r="C2" s="12">
        <v>8192.0</v>
      </c>
      <c r="D2" s="12">
        <v>16384.0</v>
      </c>
      <c r="E2" s="13">
        <v>4096.0</v>
      </c>
      <c r="F2" s="13">
        <v>8192.0</v>
      </c>
      <c r="G2" s="13">
        <v>16384.0</v>
      </c>
      <c r="H2" s="14">
        <v>4096.0</v>
      </c>
      <c r="I2" s="14">
        <v>8192.0</v>
      </c>
      <c r="J2" s="14">
        <v>16384.0</v>
      </c>
      <c r="K2" s="15">
        <v>4096.0</v>
      </c>
      <c r="L2" s="15">
        <v>8192.0</v>
      </c>
      <c r="M2" s="15">
        <v>16384.0</v>
      </c>
      <c r="N2" s="16">
        <v>4096.0</v>
      </c>
      <c r="O2" s="16">
        <v>8192.0</v>
      </c>
      <c r="P2" s="16">
        <v>16384.0</v>
      </c>
      <c r="T2" s="106"/>
      <c r="U2" s="106"/>
      <c r="W2" s="106"/>
      <c r="Y2" s="106"/>
      <c r="AA2" s="106"/>
      <c r="AC2" s="106"/>
      <c r="AL2" s="17"/>
      <c r="AM2" s="17"/>
      <c r="AN2" s="17"/>
      <c r="AO2" s="17"/>
      <c r="AP2" s="17"/>
      <c r="AQ2" s="17"/>
      <c r="AR2" s="17"/>
    </row>
    <row r="3">
      <c r="A3" s="18" t="s">
        <v>8</v>
      </c>
      <c r="B3" s="20"/>
      <c r="C3" s="20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L3" s="17"/>
      <c r="AM3" s="17"/>
      <c r="AN3" s="17"/>
      <c r="AO3" s="17"/>
      <c r="AP3" s="17"/>
      <c r="AQ3" s="17"/>
      <c r="AR3" s="17"/>
    </row>
    <row r="4">
      <c r="A4" s="23" t="s">
        <v>9</v>
      </c>
      <c r="B4" s="25">
        <v>25.0</v>
      </c>
      <c r="C4" s="25">
        <v>33.3</v>
      </c>
      <c r="D4" s="25">
        <v>33.3</v>
      </c>
      <c r="E4" s="26">
        <v>100.23</v>
      </c>
      <c r="F4" s="26">
        <v>91.52</v>
      </c>
      <c r="G4" s="26">
        <v>88.76</v>
      </c>
      <c r="H4" s="27">
        <v>46.0</v>
      </c>
      <c r="I4" s="27">
        <v>45.5</v>
      </c>
      <c r="J4" s="27">
        <v>45.5</v>
      </c>
      <c r="K4" s="41">
        <v>17.73</v>
      </c>
      <c r="L4" s="41">
        <v>60.91</v>
      </c>
      <c r="M4" s="41">
        <v>82.4</v>
      </c>
      <c r="N4" s="29">
        <v>204.9</v>
      </c>
      <c r="O4" s="29">
        <v>282.6</v>
      </c>
      <c r="P4" s="29">
        <v>282.6</v>
      </c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</row>
    <row r="5">
      <c r="A5" s="23" t="s">
        <v>10</v>
      </c>
      <c r="B5" s="25">
        <v>33.3</v>
      </c>
      <c r="C5" s="25">
        <v>33.3</v>
      </c>
      <c r="D5" s="25">
        <v>25.0</v>
      </c>
      <c r="E5" s="26">
        <v>101.98</v>
      </c>
      <c r="F5" s="26">
        <v>92.89</v>
      </c>
      <c r="G5" s="26">
        <v>89.29</v>
      </c>
      <c r="H5" s="27">
        <v>45.5</v>
      </c>
      <c r="I5" s="27">
        <v>45.5</v>
      </c>
      <c r="J5" s="27">
        <v>45.5</v>
      </c>
      <c r="K5" s="30">
        <v>18.84</v>
      </c>
      <c r="L5" s="30">
        <v>61.73</v>
      </c>
      <c r="M5" s="30">
        <v>82.7</v>
      </c>
      <c r="N5" s="29">
        <v>204.8</v>
      </c>
      <c r="O5" s="29">
        <v>282.4</v>
      </c>
      <c r="P5" s="29">
        <v>282.4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>
      <c r="A6" s="23" t="s">
        <v>11</v>
      </c>
      <c r="B6" s="25">
        <v>33.3</v>
      </c>
      <c r="C6" s="25">
        <v>33.3</v>
      </c>
      <c r="D6" s="25">
        <v>33.3</v>
      </c>
      <c r="E6" s="26">
        <v>100.52</v>
      </c>
      <c r="F6" s="26">
        <v>91.58</v>
      </c>
      <c r="G6" s="26">
        <v>88.68</v>
      </c>
      <c r="H6" s="27">
        <v>45.5</v>
      </c>
      <c r="I6" s="27">
        <v>45.5</v>
      </c>
      <c r="J6" s="27">
        <v>45.5</v>
      </c>
      <c r="K6" s="30">
        <v>15.52</v>
      </c>
      <c r="L6" s="30">
        <v>58.24</v>
      </c>
      <c r="M6" s="30">
        <v>79.52</v>
      </c>
      <c r="N6" s="29">
        <v>209.0</v>
      </c>
      <c r="O6" s="29">
        <v>286.7</v>
      </c>
      <c r="P6" s="29">
        <v>286.7</v>
      </c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</row>
    <row r="7">
      <c r="A7" s="31" t="s">
        <v>12</v>
      </c>
      <c r="B7" s="32">
        <f t="shared" ref="B7:P7" si="1">MEDIAN(B4:B6)</f>
        <v>33.3</v>
      </c>
      <c r="C7" s="32">
        <f t="shared" si="1"/>
        <v>33.3</v>
      </c>
      <c r="D7" s="32">
        <f t="shared" si="1"/>
        <v>33.3</v>
      </c>
      <c r="E7" s="32">
        <f t="shared" si="1"/>
        <v>100.52</v>
      </c>
      <c r="F7" s="32">
        <f t="shared" si="1"/>
        <v>91.58</v>
      </c>
      <c r="G7" s="32">
        <f t="shared" si="1"/>
        <v>88.76</v>
      </c>
      <c r="H7" s="32">
        <f t="shared" si="1"/>
        <v>45.5</v>
      </c>
      <c r="I7" s="32">
        <f t="shared" si="1"/>
        <v>45.5</v>
      </c>
      <c r="J7" s="32">
        <f t="shared" si="1"/>
        <v>45.5</v>
      </c>
      <c r="K7" s="32">
        <f t="shared" si="1"/>
        <v>17.73</v>
      </c>
      <c r="L7" s="32">
        <f t="shared" si="1"/>
        <v>60.91</v>
      </c>
      <c r="M7" s="32">
        <f t="shared" si="1"/>
        <v>82.4</v>
      </c>
      <c r="N7" s="32">
        <f t="shared" si="1"/>
        <v>204.9</v>
      </c>
      <c r="O7" s="32">
        <f t="shared" si="1"/>
        <v>282.6</v>
      </c>
      <c r="P7" s="32">
        <f t="shared" si="1"/>
        <v>282.6</v>
      </c>
    </row>
    <row r="8">
      <c r="A8" s="36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>
      <c r="A9" s="18" t="s">
        <v>14</v>
      </c>
      <c r="B9" s="20"/>
      <c r="C9" s="20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>
      <c r="A10" s="23" t="s">
        <v>15</v>
      </c>
      <c r="B10" s="38">
        <v>33.3</v>
      </c>
      <c r="C10" s="38">
        <v>33.3</v>
      </c>
      <c r="D10" s="38">
        <v>25.0</v>
      </c>
      <c r="E10" s="26">
        <v>100.62</v>
      </c>
      <c r="F10" s="26">
        <v>92.59</v>
      </c>
      <c r="G10" s="26">
        <v>88.85</v>
      </c>
      <c r="H10" s="27">
        <v>45.5</v>
      </c>
      <c r="I10" s="27">
        <v>45.5</v>
      </c>
      <c r="J10" s="27">
        <v>45.5</v>
      </c>
      <c r="K10" s="30">
        <v>101.58</v>
      </c>
      <c r="L10" s="30">
        <v>144.09</v>
      </c>
      <c r="M10" s="30">
        <v>165.52</v>
      </c>
      <c r="N10" s="29">
        <v>282.57</v>
      </c>
      <c r="O10" s="29">
        <v>282.57</v>
      </c>
      <c r="P10" s="29">
        <v>282.57</v>
      </c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>
      <c r="A11" s="23" t="s">
        <v>16</v>
      </c>
      <c r="B11" s="38">
        <v>25.0</v>
      </c>
      <c r="C11" s="38">
        <v>33.3</v>
      </c>
      <c r="D11" s="38">
        <v>25.0</v>
      </c>
      <c r="E11" s="26">
        <v>100.64</v>
      </c>
      <c r="F11" s="26">
        <v>92.96</v>
      </c>
      <c r="G11" s="26">
        <v>89.65</v>
      </c>
      <c r="H11" s="27">
        <v>45.5</v>
      </c>
      <c r="I11" s="27">
        <v>45.5</v>
      </c>
      <c r="J11" s="27">
        <v>45.5</v>
      </c>
      <c r="K11" s="30">
        <v>101.08</v>
      </c>
      <c r="L11" s="30">
        <v>143.74</v>
      </c>
      <c r="M11" s="30">
        <v>165.2</v>
      </c>
      <c r="N11" s="29">
        <v>282.4</v>
      </c>
      <c r="O11" s="29">
        <v>282.4</v>
      </c>
      <c r="P11" s="29">
        <v>282.4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>
      <c r="A12" s="23" t="s">
        <v>17</v>
      </c>
      <c r="B12" s="38">
        <v>33.3</v>
      </c>
      <c r="C12" s="38">
        <v>33.3</v>
      </c>
      <c r="D12" s="38">
        <v>40.0</v>
      </c>
      <c r="E12" s="26">
        <v>101.34</v>
      </c>
      <c r="F12" s="26">
        <v>93.14</v>
      </c>
      <c r="G12" s="26">
        <v>88.4</v>
      </c>
      <c r="H12" s="27">
        <v>45.5</v>
      </c>
      <c r="I12" s="27">
        <v>45.5</v>
      </c>
      <c r="J12" s="27">
        <v>45.5</v>
      </c>
      <c r="K12" s="30">
        <v>97.07</v>
      </c>
      <c r="L12" s="30">
        <v>139.71</v>
      </c>
      <c r="M12" s="30">
        <v>161.63</v>
      </c>
      <c r="N12" s="29">
        <v>286.7</v>
      </c>
      <c r="O12" s="29">
        <v>286.7</v>
      </c>
      <c r="P12" s="29">
        <v>286.7</v>
      </c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</row>
    <row r="13">
      <c r="A13" s="31" t="s">
        <v>12</v>
      </c>
      <c r="B13" s="32">
        <f t="shared" ref="B13:P13" si="2">MEDIAN(B10:B12)</f>
        <v>33.3</v>
      </c>
      <c r="C13" s="32">
        <f t="shared" si="2"/>
        <v>33.3</v>
      </c>
      <c r="D13" s="32">
        <f t="shared" si="2"/>
        <v>25</v>
      </c>
      <c r="E13" s="32">
        <f t="shared" si="2"/>
        <v>100.64</v>
      </c>
      <c r="F13" s="32">
        <f t="shared" si="2"/>
        <v>92.96</v>
      </c>
      <c r="G13" s="32">
        <f t="shared" si="2"/>
        <v>88.85</v>
      </c>
      <c r="H13" s="32">
        <f t="shared" si="2"/>
        <v>45.5</v>
      </c>
      <c r="I13" s="32">
        <f t="shared" si="2"/>
        <v>45.5</v>
      </c>
      <c r="J13" s="32">
        <f t="shared" si="2"/>
        <v>45.5</v>
      </c>
      <c r="K13" s="32">
        <f t="shared" si="2"/>
        <v>101.08</v>
      </c>
      <c r="L13" s="32">
        <f t="shared" si="2"/>
        <v>143.74</v>
      </c>
      <c r="M13" s="32">
        <f t="shared" si="2"/>
        <v>165.2</v>
      </c>
      <c r="N13" s="32">
        <f t="shared" si="2"/>
        <v>282.57</v>
      </c>
      <c r="O13" s="32">
        <f t="shared" si="2"/>
        <v>282.57</v>
      </c>
      <c r="P13" s="32">
        <f t="shared" si="2"/>
        <v>282.57</v>
      </c>
    </row>
    <row r="14">
      <c r="A14" s="36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>
      <c r="A15" s="18" t="s">
        <v>18</v>
      </c>
      <c r="B15" s="20"/>
      <c r="C15" s="20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>
      <c r="A16" s="23" t="s">
        <v>19</v>
      </c>
      <c r="B16" s="38">
        <v>33.3</v>
      </c>
      <c r="C16" s="38">
        <v>33.3</v>
      </c>
      <c r="D16" s="38">
        <v>33.3</v>
      </c>
      <c r="E16" s="26">
        <v>100.65</v>
      </c>
      <c r="F16" s="26">
        <v>92.36</v>
      </c>
      <c r="G16" s="26">
        <v>88.83</v>
      </c>
      <c r="H16" s="27">
        <v>45.5</v>
      </c>
      <c r="I16" s="27">
        <v>45.5</v>
      </c>
      <c r="J16" s="27">
        <v>45.5</v>
      </c>
      <c r="K16" s="30">
        <v>184.04</v>
      </c>
      <c r="L16" s="30">
        <v>226.32</v>
      </c>
      <c r="M16" s="30">
        <v>247.45</v>
      </c>
      <c r="N16" s="29">
        <v>323.3</v>
      </c>
      <c r="O16" s="29">
        <v>323.3</v>
      </c>
      <c r="P16" s="29">
        <v>323.3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>
      <c r="A17" s="23" t="s">
        <v>20</v>
      </c>
      <c r="B17" s="38">
        <v>33.3</v>
      </c>
      <c r="C17" s="38">
        <v>33.3</v>
      </c>
      <c r="D17" s="38">
        <v>25.0</v>
      </c>
      <c r="E17" s="26">
        <v>101.64</v>
      </c>
      <c r="F17" s="26">
        <v>92.89</v>
      </c>
      <c r="G17" s="26">
        <v>88.13</v>
      </c>
      <c r="H17" s="27">
        <v>45.5</v>
      </c>
      <c r="I17" s="27">
        <v>45.5</v>
      </c>
      <c r="J17" s="27">
        <v>45.5</v>
      </c>
      <c r="K17" s="30">
        <v>183.38</v>
      </c>
      <c r="L17" s="30">
        <v>225.45</v>
      </c>
      <c r="M17" s="30">
        <v>246.77</v>
      </c>
      <c r="N17" s="29">
        <v>282.4</v>
      </c>
      <c r="O17" s="29">
        <v>282.4</v>
      </c>
      <c r="P17" s="29">
        <v>282.4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>
      <c r="A18" s="23" t="s">
        <v>21</v>
      </c>
      <c r="B18" s="38">
        <v>33.3</v>
      </c>
      <c r="C18" s="38">
        <v>33.3</v>
      </c>
      <c r="D18" s="38">
        <v>25.0</v>
      </c>
      <c r="E18" s="26">
        <v>100.44</v>
      </c>
      <c r="F18" s="26">
        <v>92.01</v>
      </c>
      <c r="G18" s="26">
        <v>88.0</v>
      </c>
      <c r="H18" s="27">
        <v>45.5</v>
      </c>
      <c r="I18" s="27">
        <v>45.5</v>
      </c>
      <c r="J18" s="27">
        <v>45.5</v>
      </c>
      <c r="K18" s="30">
        <v>179.11</v>
      </c>
      <c r="L18" s="30">
        <v>221.07</v>
      </c>
      <c r="M18" s="30">
        <v>242.47</v>
      </c>
      <c r="N18" s="29">
        <v>286.7</v>
      </c>
      <c r="O18" s="29">
        <v>286.7</v>
      </c>
      <c r="P18" s="29">
        <v>286.7</v>
      </c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>
      <c r="A19" s="31" t="s">
        <v>12</v>
      </c>
      <c r="B19" s="32">
        <f t="shared" ref="B19:P19" si="3">MEDIAN(B16:B18)</f>
        <v>33.3</v>
      </c>
      <c r="C19" s="32">
        <f t="shared" si="3"/>
        <v>33.3</v>
      </c>
      <c r="D19" s="32">
        <f t="shared" si="3"/>
        <v>25</v>
      </c>
      <c r="E19" s="32">
        <f t="shared" si="3"/>
        <v>100.65</v>
      </c>
      <c r="F19" s="32">
        <f t="shared" si="3"/>
        <v>92.36</v>
      </c>
      <c r="G19" s="32">
        <f t="shared" si="3"/>
        <v>88.13</v>
      </c>
      <c r="H19" s="32">
        <f t="shared" si="3"/>
        <v>45.5</v>
      </c>
      <c r="I19" s="32">
        <f t="shared" si="3"/>
        <v>45.5</v>
      </c>
      <c r="J19" s="32">
        <f t="shared" si="3"/>
        <v>45.5</v>
      </c>
      <c r="K19" s="32">
        <f t="shared" si="3"/>
        <v>183.38</v>
      </c>
      <c r="L19" s="32">
        <f t="shared" si="3"/>
        <v>225.45</v>
      </c>
      <c r="M19" s="32">
        <f t="shared" si="3"/>
        <v>246.77</v>
      </c>
      <c r="N19" s="32">
        <f t="shared" si="3"/>
        <v>286.7</v>
      </c>
      <c r="O19" s="32">
        <f t="shared" si="3"/>
        <v>286.7</v>
      </c>
      <c r="P19" s="32">
        <f t="shared" si="3"/>
        <v>286.7</v>
      </c>
    </row>
    <row r="20">
      <c r="A20" s="36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>
      <c r="A21" s="18" t="s">
        <v>22</v>
      </c>
      <c r="B21" s="20"/>
      <c r="C21" s="20"/>
      <c r="D21" s="21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>
      <c r="A22" s="23" t="s">
        <v>23</v>
      </c>
      <c r="B22" s="25">
        <v>25.0</v>
      </c>
      <c r="C22" s="25">
        <v>33.3</v>
      </c>
      <c r="D22" s="25">
        <v>33.3</v>
      </c>
      <c r="E22" s="26">
        <v>107.01</v>
      </c>
      <c r="F22" s="26">
        <v>97.87</v>
      </c>
      <c r="G22" s="26">
        <v>94.7</v>
      </c>
      <c r="H22" s="27">
        <v>46.5</v>
      </c>
      <c r="I22" s="27">
        <v>46.5</v>
      </c>
      <c r="J22" s="27">
        <v>46.5</v>
      </c>
      <c r="K22" s="30">
        <v>19.36</v>
      </c>
      <c r="L22" s="30">
        <v>58.85</v>
      </c>
      <c r="M22" s="30">
        <v>78.25</v>
      </c>
      <c r="N22" s="29">
        <v>215.0</v>
      </c>
      <c r="O22" s="29">
        <v>292.3</v>
      </c>
      <c r="P22" s="29">
        <v>292.3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>
      <c r="A23" s="23" t="s">
        <v>24</v>
      </c>
      <c r="B23" s="38">
        <v>33.3</v>
      </c>
      <c r="C23" s="38">
        <v>25.0</v>
      </c>
      <c r="D23" s="38">
        <v>33.3</v>
      </c>
      <c r="E23" s="26">
        <v>107.12</v>
      </c>
      <c r="F23" s="26">
        <v>97.75</v>
      </c>
      <c r="G23" s="26">
        <v>93.97</v>
      </c>
      <c r="H23" s="27">
        <v>46.5</v>
      </c>
      <c r="I23" s="27">
        <v>46.5</v>
      </c>
      <c r="J23" s="27">
        <v>46.5</v>
      </c>
      <c r="K23" s="30">
        <v>93.42</v>
      </c>
      <c r="L23" s="30">
        <v>133.72</v>
      </c>
      <c r="M23" s="30">
        <v>153.1</v>
      </c>
      <c r="N23" s="29">
        <v>292.34</v>
      </c>
      <c r="O23" s="29">
        <v>292.38</v>
      </c>
      <c r="P23" s="29">
        <v>292.4</v>
      </c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>
      <c r="A24" s="23" t="s">
        <v>25</v>
      </c>
      <c r="B24" s="38">
        <v>33.3</v>
      </c>
      <c r="C24" s="38">
        <v>33.3</v>
      </c>
      <c r="D24" s="38">
        <v>33.3</v>
      </c>
      <c r="E24" s="26">
        <v>106.42</v>
      </c>
      <c r="F24" s="26">
        <v>98.78</v>
      </c>
      <c r="G24" s="26">
        <v>93.68</v>
      </c>
      <c r="H24" s="27">
        <v>46.5</v>
      </c>
      <c r="I24" s="27">
        <v>46.5</v>
      </c>
      <c r="J24" s="27">
        <v>46.5</v>
      </c>
      <c r="K24" s="30">
        <v>168.14</v>
      </c>
      <c r="L24" s="30">
        <v>207.25</v>
      </c>
      <c r="M24" s="30">
        <v>228.29</v>
      </c>
      <c r="N24" s="29">
        <v>292.417</v>
      </c>
      <c r="O24" s="29">
        <v>292.454</v>
      </c>
      <c r="P24" s="29">
        <v>292.473</v>
      </c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</row>
    <row r="25">
      <c r="A25" s="31" t="s">
        <v>12</v>
      </c>
      <c r="B25" s="32">
        <f t="shared" ref="B25:P25" si="4">MEDIAN(B22:B24)</f>
        <v>33.3</v>
      </c>
      <c r="C25" s="32">
        <f t="shared" si="4"/>
        <v>33.3</v>
      </c>
      <c r="D25" s="32">
        <f t="shared" si="4"/>
        <v>33.3</v>
      </c>
      <c r="E25" s="32">
        <f t="shared" si="4"/>
        <v>107.01</v>
      </c>
      <c r="F25" s="32">
        <f t="shared" si="4"/>
        <v>97.87</v>
      </c>
      <c r="G25" s="32">
        <f t="shared" si="4"/>
        <v>93.97</v>
      </c>
      <c r="H25" s="32">
        <f t="shared" si="4"/>
        <v>46.5</v>
      </c>
      <c r="I25" s="32">
        <f t="shared" si="4"/>
        <v>46.5</v>
      </c>
      <c r="J25" s="32">
        <f t="shared" si="4"/>
        <v>46.5</v>
      </c>
      <c r="K25" s="32">
        <f t="shared" si="4"/>
        <v>93.42</v>
      </c>
      <c r="L25" s="32">
        <f t="shared" si="4"/>
        <v>133.72</v>
      </c>
      <c r="M25" s="32">
        <f t="shared" si="4"/>
        <v>153.1</v>
      </c>
      <c r="N25" s="32">
        <f t="shared" si="4"/>
        <v>292.34</v>
      </c>
      <c r="O25" s="32">
        <f t="shared" si="4"/>
        <v>292.38</v>
      </c>
      <c r="P25" s="32">
        <f t="shared" si="4"/>
        <v>292.4</v>
      </c>
      <c r="Y25" s="36"/>
      <c r="Z25" s="36"/>
      <c r="AA25" s="36"/>
      <c r="AB25" s="36"/>
      <c r="AC25" s="36"/>
      <c r="AD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Q26" s="36"/>
      <c r="R26" s="36"/>
      <c r="S26" s="36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>
      <c r="A27" s="36"/>
      <c r="B27" s="36"/>
      <c r="C27" s="39"/>
      <c r="D27" s="36"/>
      <c r="E27" s="36"/>
      <c r="F27" s="36"/>
      <c r="G27" s="17"/>
      <c r="H27" s="36"/>
      <c r="I27" s="36"/>
      <c r="J27" s="36"/>
      <c r="K27" s="17"/>
      <c r="L27" s="36"/>
      <c r="M27" s="36"/>
      <c r="Q27" s="36"/>
      <c r="R27" s="36"/>
      <c r="S27" s="36"/>
      <c r="AA27" s="92"/>
      <c r="AB27" s="92"/>
      <c r="AC27" s="92"/>
      <c r="AD27" s="92"/>
      <c r="AE27" s="92"/>
      <c r="AF27" s="91"/>
      <c r="AG27" s="91"/>
      <c r="AH27" s="91"/>
      <c r="AI27" s="91"/>
      <c r="AJ27" s="91"/>
      <c r="AK27" s="91"/>
    </row>
    <row r="28">
      <c r="A28" s="1" t="s">
        <v>152</v>
      </c>
      <c r="B28" s="5" t="s">
        <v>2</v>
      </c>
      <c r="C28" s="3"/>
      <c r="D28" s="3"/>
      <c r="E28" s="3"/>
      <c r="F28" s="3"/>
      <c r="G28" s="4"/>
      <c r="H28" s="6" t="s">
        <v>3</v>
      </c>
      <c r="I28" s="3"/>
      <c r="J28" s="3"/>
      <c r="K28" s="3"/>
      <c r="L28" s="3"/>
      <c r="M28" s="4"/>
      <c r="N28" s="7" t="s">
        <v>4</v>
      </c>
      <c r="O28" s="3"/>
      <c r="P28" s="3"/>
      <c r="Q28" s="3"/>
      <c r="R28" s="3"/>
      <c r="S28" s="4"/>
      <c r="T28" s="8" t="s">
        <v>5</v>
      </c>
      <c r="U28" s="3"/>
      <c r="V28" s="3"/>
      <c r="W28" s="3"/>
      <c r="X28" s="3"/>
      <c r="Y28" s="4"/>
      <c r="Z28" s="9" t="s">
        <v>6</v>
      </c>
      <c r="AA28" s="3"/>
      <c r="AB28" s="3"/>
      <c r="AC28" s="3"/>
      <c r="AD28" s="3"/>
      <c r="AE28" s="4"/>
    </row>
    <row r="29">
      <c r="A29" s="10" t="s">
        <v>7</v>
      </c>
      <c r="B29" s="79">
        <v>4096.0</v>
      </c>
      <c r="C29" s="4"/>
      <c r="D29" s="79">
        <v>8192.0</v>
      </c>
      <c r="E29" s="4"/>
      <c r="F29" s="79">
        <v>16384.0</v>
      </c>
      <c r="G29" s="4"/>
      <c r="H29" s="80">
        <v>4096.0</v>
      </c>
      <c r="I29" s="4"/>
      <c r="J29" s="80">
        <v>8192.0</v>
      </c>
      <c r="K29" s="4"/>
      <c r="L29" s="80">
        <v>16384.0</v>
      </c>
      <c r="M29" s="4"/>
      <c r="N29" s="81">
        <v>4096.0</v>
      </c>
      <c r="O29" s="4"/>
      <c r="P29" s="81">
        <v>8192.0</v>
      </c>
      <c r="Q29" s="4"/>
      <c r="R29" s="81">
        <v>16384.0</v>
      </c>
      <c r="S29" s="4"/>
      <c r="T29" s="82">
        <v>4096.0</v>
      </c>
      <c r="U29" s="4"/>
      <c r="V29" s="82">
        <v>8192.0</v>
      </c>
      <c r="W29" s="4"/>
      <c r="X29" s="82">
        <v>16384.0</v>
      </c>
      <c r="Y29" s="4"/>
      <c r="Z29" s="83">
        <v>4096.0</v>
      </c>
      <c r="AA29" s="4"/>
      <c r="AB29" s="83">
        <v>8192.0</v>
      </c>
      <c r="AC29" s="4"/>
      <c r="AD29" s="83">
        <v>16384.0</v>
      </c>
      <c r="AE29" s="4"/>
      <c r="AL29" s="17"/>
      <c r="AM29" s="17"/>
      <c r="AN29" s="17"/>
      <c r="AO29" s="17"/>
      <c r="AP29" s="17"/>
      <c r="AQ29" s="17"/>
      <c r="AR29" s="17"/>
    </row>
    <row r="30">
      <c r="A30" s="10"/>
      <c r="B30" s="12" t="s">
        <v>135</v>
      </c>
      <c r="C30" s="12" t="s">
        <v>136</v>
      </c>
      <c r="D30" s="12" t="s">
        <v>135</v>
      </c>
      <c r="E30" s="12" t="s">
        <v>136</v>
      </c>
      <c r="F30" s="12" t="s">
        <v>135</v>
      </c>
      <c r="G30" s="12" t="s">
        <v>136</v>
      </c>
      <c r="H30" s="13" t="s">
        <v>135</v>
      </c>
      <c r="I30" s="13" t="s">
        <v>136</v>
      </c>
      <c r="J30" s="13" t="s">
        <v>135</v>
      </c>
      <c r="K30" s="13" t="s">
        <v>136</v>
      </c>
      <c r="L30" s="13" t="s">
        <v>135</v>
      </c>
      <c r="M30" s="13" t="s">
        <v>136</v>
      </c>
      <c r="N30" s="14" t="s">
        <v>135</v>
      </c>
      <c r="O30" s="14" t="s">
        <v>136</v>
      </c>
      <c r="P30" s="14" t="s">
        <v>135</v>
      </c>
      <c r="Q30" s="14" t="s">
        <v>136</v>
      </c>
      <c r="R30" s="14" t="s">
        <v>135</v>
      </c>
      <c r="S30" s="14" t="s">
        <v>136</v>
      </c>
      <c r="T30" s="15" t="s">
        <v>135</v>
      </c>
      <c r="U30" s="15" t="s">
        <v>136</v>
      </c>
      <c r="V30" s="15" t="s">
        <v>135</v>
      </c>
      <c r="W30" s="15" t="s">
        <v>136</v>
      </c>
      <c r="X30" s="15" t="s">
        <v>135</v>
      </c>
      <c r="Y30" s="15" t="s">
        <v>136</v>
      </c>
      <c r="Z30" s="16" t="s">
        <v>135</v>
      </c>
      <c r="AA30" s="16" t="s">
        <v>136</v>
      </c>
      <c r="AB30" s="16" t="s">
        <v>135</v>
      </c>
      <c r="AC30" s="16" t="s">
        <v>136</v>
      </c>
      <c r="AD30" s="16" t="s">
        <v>135</v>
      </c>
      <c r="AE30" s="16" t="s">
        <v>136</v>
      </c>
      <c r="AL30" s="17"/>
      <c r="AM30" s="17"/>
      <c r="AN30" s="17"/>
      <c r="AO30" s="17"/>
      <c r="AP30" s="17"/>
      <c r="AQ30" s="17"/>
      <c r="AR30" s="17"/>
    </row>
    <row r="31">
      <c r="A31" s="18" t="s">
        <v>8</v>
      </c>
      <c r="B31" s="20"/>
      <c r="C31" s="20"/>
      <c r="D31" s="20"/>
      <c r="E31" s="20"/>
      <c r="F31" s="21"/>
      <c r="G31" s="2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>
      <c r="A32" s="23" t="s">
        <v>9</v>
      </c>
      <c r="B32" s="25">
        <v>50.0</v>
      </c>
      <c r="C32" s="25">
        <v>25.0</v>
      </c>
      <c r="D32" s="25">
        <v>33.3</v>
      </c>
      <c r="E32" s="25">
        <v>40.0</v>
      </c>
      <c r="F32" s="25">
        <v>25.0</v>
      </c>
      <c r="G32" s="25">
        <v>50.0</v>
      </c>
      <c r="H32" s="26">
        <v>81.66</v>
      </c>
      <c r="I32" s="26">
        <v>116.16</v>
      </c>
      <c r="J32" s="26">
        <v>81.19</v>
      </c>
      <c r="K32" s="26">
        <v>98.88</v>
      </c>
      <c r="L32" s="26">
        <v>80.57</v>
      </c>
      <c r="M32" s="26">
        <v>96.62</v>
      </c>
      <c r="N32" s="27">
        <v>43.4</v>
      </c>
      <c r="O32" s="27">
        <v>45.5</v>
      </c>
      <c r="P32" s="27">
        <v>46.0</v>
      </c>
      <c r="Q32" s="27">
        <v>45.5</v>
      </c>
      <c r="R32" s="27">
        <v>45.5</v>
      </c>
      <c r="S32" s="27">
        <v>45.5</v>
      </c>
      <c r="T32" s="41">
        <v>9.79</v>
      </c>
      <c r="U32" s="41">
        <v>26.71</v>
      </c>
      <c r="V32" s="41">
        <v>55.65</v>
      </c>
      <c r="W32" s="41">
        <v>65.4</v>
      </c>
      <c r="X32" s="41">
        <v>79.72</v>
      </c>
      <c r="Y32" s="41">
        <v>84.55</v>
      </c>
      <c r="Z32" s="29">
        <v>131.2</v>
      </c>
      <c r="AA32" s="29">
        <v>278.8</v>
      </c>
      <c r="AB32" s="29">
        <v>282.6</v>
      </c>
      <c r="AC32" s="29">
        <v>282.6</v>
      </c>
      <c r="AD32" s="29">
        <v>282.6</v>
      </c>
      <c r="AE32" s="29">
        <v>282.6</v>
      </c>
    </row>
    <row r="33">
      <c r="A33" s="23" t="s">
        <v>10</v>
      </c>
      <c r="B33" s="25">
        <v>50.0</v>
      </c>
      <c r="C33" s="25">
        <v>36.7</v>
      </c>
      <c r="D33" s="25">
        <v>25.0</v>
      </c>
      <c r="E33" s="25">
        <v>25.0</v>
      </c>
      <c r="F33" s="25">
        <v>25.0</v>
      </c>
      <c r="G33" s="25">
        <v>45.0</v>
      </c>
      <c r="H33" s="26">
        <v>79.91</v>
      </c>
      <c r="I33" s="26">
        <v>118.14</v>
      </c>
      <c r="J33" s="26">
        <v>80.73</v>
      </c>
      <c r="K33" s="26">
        <v>102.89</v>
      </c>
      <c r="L33" s="26">
        <v>83.1</v>
      </c>
      <c r="M33" s="26">
        <v>90.8</v>
      </c>
      <c r="N33" s="27">
        <v>41.7</v>
      </c>
      <c r="O33" s="27">
        <v>45.5</v>
      </c>
      <c r="P33" s="27">
        <v>45.5</v>
      </c>
      <c r="Q33" s="27">
        <v>45.5</v>
      </c>
      <c r="R33" s="27">
        <v>45.5</v>
      </c>
      <c r="S33" s="27">
        <v>45.5</v>
      </c>
      <c r="T33" s="30">
        <v>9.71</v>
      </c>
      <c r="U33" s="30">
        <v>27.81</v>
      </c>
      <c r="V33" s="30">
        <v>56.5</v>
      </c>
      <c r="W33" s="30">
        <v>65.7</v>
      </c>
      <c r="X33" s="30">
        <v>80.09</v>
      </c>
      <c r="Y33" s="30">
        <v>84.7</v>
      </c>
      <c r="Z33" s="29">
        <v>131.0</v>
      </c>
      <c r="AA33" s="29">
        <v>278.6</v>
      </c>
      <c r="AB33" s="29">
        <v>282.4</v>
      </c>
      <c r="AC33" s="29">
        <v>282.4</v>
      </c>
      <c r="AD33" s="29">
        <v>282.4</v>
      </c>
      <c r="AE33" s="29">
        <v>282.4</v>
      </c>
    </row>
    <row r="34">
      <c r="A34" s="23" t="s">
        <v>11</v>
      </c>
      <c r="B34" s="25">
        <v>40.0</v>
      </c>
      <c r="C34" s="25">
        <v>50.0</v>
      </c>
      <c r="D34" s="25">
        <v>25.0</v>
      </c>
      <c r="E34" s="25">
        <v>25.0</v>
      </c>
      <c r="F34" s="25">
        <v>25.0</v>
      </c>
      <c r="G34" s="25">
        <v>25.0</v>
      </c>
      <c r="H34" s="26">
        <v>81.65</v>
      </c>
      <c r="I34" s="26">
        <v>115.34</v>
      </c>
      <c r="J34" s="26">
        <v>79.9</v>
      </c>
      <c r="K34" s="26">
        <v>101.57</v>
      </c>
      <c r="L34" s="26">
        <v>83.44</v>
      </c>
      <c r="M34" s="26">
        <v>91.01</v>
      </c>
      <c r="N34" s="27">
        <v>42.2</v>
      </c>
      <c r="O34" s="27">
        <v>45.5</v>
      </c>
      <c r="P34" s="27">
        <v>45.5</v>
      </c>
      <c r="Q34" s="27">
        <v>45.5</v>
      </c>
      <c r="R34" s="27">
        <v>45.5</v>
      </c>
      <c r="S34" s="27">
        <v>45.5</v>
      </c>
      <c r="T34" s="30">
        <v>6.3</v>
      </c>
      <c r="U34" s="30">
        <v>24.03</v>
      </c>
      <c r="V34" s="30">
        <v>52.9</v>
      </c>
      <c r="W34" s="30">
        <v>62.21</v>
      </c>
      <c r="X34" s="30">
        <v>76.7</v>
      </c>
      <c r="Y34" s="30">
        <v>81.59</v>
      </c>
      <c r="Z34" s="29">
        <v>135.2</v>
      </c>
      <c r="AA34" s="29">
        <v>282.8</v>
      </c>
      <c r="AB34" s="29">
        <v>286.6</v>
      </c>
      <c r="AC34" s="29">
        <v>286.7</v>
      </c>
      <c r="AD34" s="29">
        <v>286.7</v>
      </c>
      <c r="AE34" s="29">
        <v>286.7</v>
      </c>
    </row>
    <row r="35">
      <c r="A35" s="31" t="s">
        <v>12</v>
      </c>
      <c r="B35" s="109">
        <f>MEDIAN(B32:B34,C32:C34)</f>
        <v>45</v>
      </c>
      <c r="C35" s="4"/>
      <c r="D35" s="109">
        <f>MEDIAN(D32:D34,E32:E34)</f>
        <v>25</v>
      </c>
      <c r="E35" s="4"/>
      <c r="F35" s="109">
        <f>MEDIAN(F32:F34,G32:G34)</f>
        <v>25</v>
      </c>
      <c r="G35" s="4"/>
      <c r="H35" s="109">
        <f>MEDIAN(H32:H34,I32:I34)</f>
        <v>98.5</v>
      </c>
      <c r="I35" s="4"/>
      <c r="J35" s="109">
        <f>MEDIAN(J32:J34,K32:K34)</f>
        <v>90.035</v>
      </c>
      <c r="K35" s="4"/>
      <c r="L35" s="109">
        <f>MEDIAN(L32:L34,M32:M34)</f>
        <v>87.12</v>
      </c>
      <c r="M35" s="4"/>
      <c r="N35" s="109">
        <f>MEDIAN(N32:N34,O32:O34)</f>
        <v>44.45</v>
      </c>
      <c r="O35" s="4"/>
      <c r="P35" s="109">
        <f>MEDIAN(P32:P34,Q32:Q34)</f>
        <v>45.5</v>
      </c>
      <c r="Q35" s="4"/>
      <c r="R35" s="109">
        <f>MEDIAN(R32:R34,S32:S34)</f>
        <v>45.5</v>
      </c>
      <c r="S35" s="4"/>
      <c r="T35" s="109">
        <f>MEDIAN(T32:T34,U32:U34)</f>
        <v>16.91</v>
      </c>
      <c r="U35" s="4"/>
      <c r="V35" s="109">
        <f>MEDIAN(V32:V34,W32:W34)</f>
        <v>59.355</v>
      </c>
      <c r="W35" s="4"/>
      <c r="X35" s="109">
        <f>MEDIAN(X32:X34,Y32:Y34)</f>
        <v>80.84</v>
      </c>
      <c r="Y35" s="4"/>
      <c r="Z35" s="109">
        <f>MEDIAN(Z32:Z34,AA32:AA34)</f>
        <v>206.9</v>
      </c>
      <c r="AA35" s="4"/>
      <c r="AB35" s="109">
        <f>MEDIAN(AB32:AB34,AC32:AC34)</f>
        <v>282.6</v>
      </c>
      <c r="AC35" s="4"/>
      <c r="AD35" s="109">
        <f>MEDIAN(AD32:AD34,AE32:AE34)</f>
        <v>282.6</v>
      </c>
      <c r="AE35" s="4"/>
    </row>
    <row r="36">
      <c r="A36" s="36"/>
    </row>
    <row r="37">
      <c r="A37" s="18" t="s">
        <v>14</v>
      </c>
      <c r="B37" s="20"/>
      <c r="C37" s="20"/>
      <c r="D37" s="20"/>
      <c r="E37" s="20"/>
      <c r="F37" s="21"/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23" t="s">
        <v>15</v>
      </c>
      <c r="B38" s="38">
        <v>25.0</v>
      </c>
      <c r="C38" s="38">
        <v>29.2</v>
      </c>
      <c r="D38" s="38">
        <v>25.0</v>
      </c>
      <c r="E38" s="38">
        <v>25.0</v>
      </c>
      <c r="F38" s="38">
        <v>25.0</v>
      </c>
      <c r="G38" s="38">
        <v>25.0</v>
      </c>
      <c r="H38" s="26">
        <v>80.16</v>
      </c>
      <c r="I38" s="26">
        <v>113.64</v>
      </c>
      <c r="J38" s="26">
        <v>86.12</v>
      </c>
      <c r="K38" s="26">
        <v>102.43</v>
      </c>
      <c r="L38" s="26">
        <v>83.4</v>
      </c>
      <c r="M38" s="26">
        <v>92.32</v>
      </c>
      <c r="N38" s="27">
        <v>45.5</v>
      </c>
      <c r="O38" s="27">
        <v>45.5</v>
      </c>
      <c r="P38" s="27">
        <v>45.5</v>
      </c>
      <c r="Q38" s="27">
        <v>45.5</v>
      </c>
      <c r="R38" s="27">
        <v>45.5</v>
      </c>
      <c r="S38" s="27">
        <v>45.5</v>
      </c>
      <c r="T38" s="30">
        <v>85.46</v>
      </c>
      <c r="U38" s="30">
        <v>109.78</v>
      </c>
      <c r="V38" s="30">
        <v>139.0</v>
      </c>
      <c r="W38" s="30">
        <v>148.27</v>
      </c>
      <c r="X38" s="30">
        <v>162.8</v>
      </c>
      <c r="Y38" s="30">
        <v>167.7</v>
      </c>
      <c r="Z38" s="29">
        <v>282.56</v>
      </c>
      <c r="AA38" s="29">
        <v>282.57</v>
      </c>
      <c r="AB38" s="29">
        <v>282.57</v>
      </c>
      <c r="AC38" s="29">
        <v>282.57</v>
      </c>
      <c r="AD38" s="29">
        <v>282.57</v>
      </c>
      <c r="AE38" s="29">
        <v>323.3</v>
      </c>
    </row>
    <row r="39">
      <c r="A39" s="23" t="s">
        <v>16</v>
      </c>
      <c r="B39" s="38">
        <v>25.0</v>
      </c>
      <c r="C39" s="38">
        <v>40.0</v>
      </c>
      <c r="D39" s="38">
        <v>50.0</v>
      </c>
      <c r="E39" s="38">
        <v>25.0</v>
      </c>
      <c r="F39" s="38">
        <v>25.0</v>
      </c>
      <c r="G39" s="38">
        <v>25.0</v>
      </c>
      <c r="H39" s="26">
        <v>82.47</v>
      </c>
      <c r="I39" s="26">
        <v>116.54</v>
      </c>
      <c r="J39" s="26">
        <v>81.41</v>
      </c>
      <c r="K39" s="26">
        <v>103.15</v>
      </c>
      <c r="L39" s="26">
        <v>81.18</v>
      </c>
      <c r="M39" s="26">
        <v>92.77</v>
      </c>
      <c r="N39" s="27">
        <v>45.5</v>
      </c>
      <c r="O39" s="27">
        <v>45.5</v>
      </c>
      <c r="P39" s="27">
        <v>45.5</v>
      </c>
      <c r="Q39" s="27">
        <v>45.5</v>
      </c>
      <c r="R39" s="27">
        <v>45.5</v>
      </c>
      <c r="S39" s="27">
        <v>45.5</v>
      </c>
      <c r="T39" s="30">
        <v>84.75</v>
      </c>
      <c r="U39" s="30">
        <v>109.8</v>
      </c>
      <c r="V39" s="30">
        <v>138.84</v>
      </c>
      <c r="W39" s="30">
        <v>148.31</v>
      </c>
      <c r="X39" s="30">
        <v>162.76</v>
      </c>
      <c r="Y39" s="30">
        <v>167.47</v>
      </c>
      <c r="Z39" s="29">
        <v>282.4</v>
      </c>
      <c r="AA39" s="29">
        <v>282.4</v>
      </c>
      <c r="AB39" s="29">
        <v>282.4</v>
      </c>
      <c r="AC39" s="29">
        <v>282.4</v>
      </c>
      <c r="AD39" s="29">
        <v>282.4</v>
      </c>
      <c r="AE39" s="29">
        <v>282.4</v>
      </c>
    </row>
    <row r="40">
      <c r="A40" s="23" t="s">
        <v>17</v>
      </c>
      <c r="B40" s="38">
        <v>50.0</v>
      </c>
      <c r="C40" s="38">
        <v>50.0</v>
      </c>
      <c r="D40" s="38">
        <v>25.0</v>
      </c>
      <c r="E40" s="38">
        <v>50.0</v>
      </c>
      <c r="F40" s="38">
        <v>25.0</v>
      </c>
      <c r="G40" s="38">
        <v>50.0</v>
      </c>
      <c r="H40" s="26">
        <v>83.74</v>
      </c>
      <c r="I40" s="26">
        <v>116.46</v>
      </c>
      <c r="J40" s="26">
        <v>85.81</v>
      </c>
      <c r="K40" s="26">
        <v>103.87</v>
      </c>
      <c r="L40" s="26">
        <v>83.21</v>
      </c>
      <c r="M40" s="26">
        <v>93.43</v>
      </c>
      <c r="N40" s="27">
        <v>45.5</v>
      </c>
      <c r="O40" s="27">
        <v>45.5</v>
      </c>
      <c r="P40" s="27">
        <v>45.5</v>
      </c>
      <c r="Q40" s="27">
        <v>45.5</v>
      </c>
      <c r="R40" s="27">
        <v>45.5</v>
      </c>
      <c r="S40" s="27">
        <v>45.5</v>
      </c>
      <c r="T40" s="30">
        <v>89.02</v>
      </c>
      <c r="U40" s="30">
        <v>105.52</v>
      </c>
      <c r="V40" s="30">
        <v>134.56</v>
      </c>
      <c r="W40" s="30">
        <v>144.27</v>
      </c>
      <c r="X40" s="30">
        <v>158.88</v>
      </c>
      <c r="Y40" s="30">
        <v>163.67</v>
      </c>
      <c r="Z40" s="29">
        <v>286.7</v>
      </c>
      <c r="AA40" s="29">
        <v>286.7</v>
      </c>
      <c r="AB40" s="29">
        <v>286.7</v>
      </c>
      <c r="AC40" s="29">
        <v>286.7</v>
      </c>
      <c r="AD40" s="29">
        <v>286.7</v>
      </c>
      <c r="AE40" s="29">
        <v>286.7</v>
      </c>
    </row>
    <row r="41">
      <c r="A41" s="31" t="s">
        <v>12</v>
      </c>
      <c r="B41" s="109">
        <f>MEDIAN(B38:B40,C38:C40)</f>
        <v>34.6</v>
      </c>
      <c r="C41" s="4"/>
      <c r="D41" s="109">
        <f>MEDIAN(D38:D40,E38:E40)</f>
        <v>25</v>
      </c>
      <c r="E41" s="4"/>
      <c r="F41" s="109">
        <f>MEDIAN(F38:F40,G38:G40)</f>
        <v>25</v>
      </c>
      <c r="G41" s="4"/>
      <c r="H41" s="109">
        <f>MEDIAN(H38:H40,I38:I40)</f>
        <v>98.69</v>
      </c>
      <c r="I41" s="4"/>
      <c r="J41" s="109">
        <f>MEDIAN(J38:J40,K38:K40)</f>
        <v>94.275</v>
      </c>
      <c r="K41" s="4"/>
      <c r="L41" s="109">
        <f>MEDIAN(L38:L40,M38:M40)</f>
        <v>87.86</v>
      </c>
      <c r="M41" s="4"/>
      <c r="N41" s="109">
        <f>MEDIAN(N38:N40,O38:O40)</f>
        <v>45.5</v>
      </c>
      <c r="O41" s="4"/>
      <c r="P41" s="109">
        <f>MEDIAN(P38:P40,Q38:Q40)</f>
        <v>45.5</v>
      </c>
      <c r="Q41" s="4"/>
      <c r="R41" s="109">
        <f>MEDIAN(R38:R40,S38:S40)</f>
        <v>45.5</v>
      </c>
      <c r="S41" s="4"/>
      <c r="T41" s="109">
        <f>MEDIAN(T38:T40,U38:U40)</f>
        <v>97.27</v>
      </c>
      <c r="U41" s="4"/>
      <c r="V41" s="109">
        <f>MEDIAN(V38:V40,W38:W40)</f>
        <v>141.635</v>
      </c>
      <c r="W41" s="4"/>
      <c r="X41" s="109">
        <f>MEDIAN(X38:X40,Y38:Y40)</f>
        <v>163.235</v>
      </c>
      <c r="Y41" s="4"/>
      <c r="Z41" s="109">
        <f>MEDIAN(Z38:Z40,AA38:AA40)</f>
        <v>282.565</v>
      </c>
      <c r="AA41" s="4"/>
      <c r="AB41" s="109">
        <f>MEDIAN(AB38:AB40,AC38:AC40)</f>
        <v>282.57</v>
      </c>
      <c r="AC41" s="4"/>
      <c r="AD41" s="109">
        <f>MEDIAN(AD38:AD40,AE38:AE40)</f>
        <v>284.635</v>
      </c>
      <c r="AE41" s="4"/>
    </row>
    <row r="42">
      <c r="A42" s="36"/>
    </row>
    <row r="43">
      <c r="A43" s="18" t="s">
        <v>18</v>
      </c>
      <c r="B43" s="20"/>
      <c r="C43" s="20"/>
      <c r="D43" s="20"/>
      <c r="E43" s="20"/>
      <c r="F43" s="21"/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>
      <c r="A44" s="23" t="s">
        <v>19</v>
      </c>
      <c r="B44" s="38">
        <v>25.0</v>
      </c>
      <c r="C44" s="38">
        <v>25.0</v>
      </c>
      <c r="D44" s="38">
        <v>25.0</v>
      </c>
      <c r="E44" s="38">
        <v>50.0</v>
      </c>
      <c r="F44" s="38">
        <v>50.0</v>
      </c>
      <c r="G44" s="38">
        <v>25.0</v>
      </c>
      <c r="H44" s="26">
        <v>85.38</v>
      </c>
      <c r="I44" s="26">
        <v>113.79</v>
      </c>
      <c r="J44" s="26">
        <v>83.0</v>
      </c>
      <c r="K44" s="26">
        <v>100.25</v>
      </c>
      <c r="L44" s="26">
        <v>85.42</v>
      </c>
      <c r="M44" s="26">
        <v>92.95</v>
      </c>
      <c r="N44" s="27">
        <v>45.5</v>
      </c>
      <c r="O44" s="27">
        <v>45.5</v>
      </c>
      <c r="P44" s="27">
        <v>45.5</v>
      </c>
      <c r="Q44" s="27">
        <v>45.5</v>
      </c>
      <c r="R44" s="27">
        <v>45.5</v>
      </c>
      <c r="S44" s="27">
        <v>45.5</v>
      </c>
      <c r="T44" s="30">
        <v>175.25</v>
      </c>
      <c r="U44" s="30">
        <v>192.52</v>
      </c>
      <c r="V44" s="30">
        <v>221.54</v>
      </c>
      <c r="W44" s="30">
        <v>230.31</v>
      </c>
      <c r="X44" s="30">
        <v>245.02</v>
      </c>
      <c r="Y44" s="30">
        <v>249.9</v>
      </c>
      <c r="Z44" s="29">
        <v>323.3</v>
      </c>
      <c r="AA44" s="29">
        <v>323.3</v>
      </c>
      <c r="AB44" s="29">
        <v>323.3</v>
      </c>
      <c r="AC44" s="29">
        <v>323.3</v>
      </c>
      <c r="AD44" s="29">
        <v>323.3</v>
      </c>
      <c r="AE44" s="29">
        <v>323.3</v>
      </c>
    </row>
    <row r="45">
      <c r="A45" s="23" t="s">
        <v>20</v>
      </c>
      <c r="B45" s="38">
        <v>25.0</v>
      </c>
      <c r="C45" s="38">
        <v>25.0</v>
      </c>
      <c r="D45" s="38">
        <v>33.3</v>
      </c>
      <c r="E45" s="38">
        <v>50.0</v>
      </c>
      <c r="F45" s="38">
        <v>25.0</v>
      </c>
      <c r="G45" s="38">
        <v>50.0</v>
      </c>
      <c r="H45" s="26">
        <v>81.57</v>
      </c>
      <c r="I45" s="26">
        <v>119.38</v>
      </c>
      <c r="J45" s="26">
        <v>85.1</v>
      </c>
      <c r="K45" s="26">
        <v>102.43</v>
      </c>
      <c r="L45" s="26">
        <v>83.31</v>
      </c>
      <c r="M45" s="26">
        <v>91.14</v>
      </c>
      <c r="N45" s="27">
        <v>45.5</v>
      </c>
      <c r="O45" s="27">
        <v>45.5</v>
      </c>
      <c r="P45" s="27">
        <v>45.5</v>
      </c>
      <c r="Q45" s="27">
        <v>45.5</v>
      </c>
      <c r="R45" s="27">
        <v>45.5</v>
      </c>
      <c r="S45" s="27">
        <v>45.5</v>
      </c>
      <c r="T45" s="30">
        <v>170.5</v>
      </c>
      <c r="U45" s="30">
        <v>191.64</v>
      </c>
      <c r="V45" s="30">
        <v>220.66</v>
      </c>
      <c r="W45" s="30">
        <v>229.75</v>
      </c>
      <c r="X45" s="30">
        <v>244.15</v>
      </c>
      <c r="Y45" s="30">
        <v>249.36</v>
      </c>
      <c r="Z45" s="29">
        <v>282.4</v>
      </c>
      <c r="AA45" s="29">
        <v>282.4</v>
      </c>
      <c r="AB45" s="29">
        <v>282.4</v>
      </c>
      <c r="AC45" s="29">
        <v>282.4</v>
      </c>
      <c r="AD45" s="29">
        <v>282.4</v>
      </c>
      <c r="AE45" s="29">
        <v>282.4</v>
      </c>
    </row>
    <row r="46">
      <c r="A46" s="23" t="s">
        <v>21</v>
      </c>
      <c r="B46" s="38">
        <v>50.0</v>
      </c>
      <c r="C46" s="38">
        <v>25.0</v>
      </c>
      <c r="D46" s="38">
        <v>20.0</v>
      </c>
      <c r="E46" s="38">
        <v>25.0</v>
      </c>
      <c r="F46" s="38">
        <v>25.0</v>
      </c>
      <c r="G46" s="38">
        <v>25.0</v>
      </c>
      <c r="H46" s="26">
        <v>86.69</v>
      </c>
      <c r="I46" s="26">
        <v>115.39</v>
      </c>
      <c r="J46" s="26">
        <v>82.37</v>
      </c>
      <c r="K46" s="26">
        <v>102.82</v>
      </c>
      <c r="L46" s="26">
        <v>84.1</v>
      </c>
      <c r="M46" s="26">
        <v>90.17</v>
      </c>
      <c r="N46" s="27">
        <v>45.5</v>
      </c>
      <c r="O46" s="27">
        <v>45.5</v>
      </c>
      <c r="P46" s="27">
        <v>45.5</v>
      </c>
      <c r="Q46" s="27">
        <v>45.5</v>
      </c>
      <c r="R46" s="27">
        <v>45.5</v>
      </c>
      <c r="S46" s="27">
        <v>45.5</v>
      </c>
      <c r="T46" s="30">
        <v>171.04</v>
      </c>
      <c r="U46" s="30">
        <v>187.32</v>
      </c>
      <c r="V46" s="30">
        <v>217.11</v>
      </c>
      <c r="W46" s="30">
        <v>225.23</v>
      </c>
      <c r="X46" s="30">
        <v>240.38</v>
      </c>
      <c r="Y46" s="30">
        <v>245.01</v>
      </c>
      <c r="Z46" s="29">
        <v>286.7</v>
      </c>
      <c r="AA46" s="29">
        <v>286.7</v>
      </c>
      <c r="AB46" s="29">
        <v>286.7</v>
      </c>
      <c r="AC46" s="29">
        <v>286.7</v>
      </c>
      <c r="AD46" s="29">
        <v>286.7</v>
      </c>
      <c r="AE46" s="29">
        <v>286.7</v>
      </c>
    </row>
    <row r="47">
      <c r="A47" s="31" t="s">
        <v>12</v>
      </c>
      <c r="B47" s="109">
        <f>MEDIAN(B44:B46,C44:C46)</f>
        <v>25</v>
      </c>
      <c r="C47" s="4"/>
      <c r="D47" s="109">
        <f>MEDIAN(D44:D46,E44:E46)</f>
        <v>29.15</v>
      </c>
      <c r="E47" s="4"/>
      <c r="F47" s="109">
        <f>MEDIAN(F44:F46,G44:G46)</f>
        <v>25</v>
      </c>
      <c r="G47" s="4"/>
      <c r="H47" s="109">
        <f>MEDIAN(H44:H46,I44:I46)</f>
        <v>100.24</v>
      </c>
      <c r="I47" s="4"/>
      <c r="J47" s="109">
        <f>MEDIAN(J44:J46,K44:K46)</f>
        <v>92.675</v>
      </c>
      <c r="K47" s="4"/>
      <c r="L47" s="109">
        <f>MEDIAN(L44:L46,M44:M46)</f>
        <v>87.795</v>
      </c>
      <c r="M47" s="4"/>
      <c r="N47" s="109">
        <f>MEDIAN(N44:N46,O44:O46)</f>
        <v>45.5</v>
      </c>
      <c r="O47" s="4"/>
      <c r="P47" s="109">
        <f>MEDIAN(P44:P46,Q44:Q46)</f>
        <v>45.5</v>
      </c>
      <c r="Q47" s="4"/>
      <c r="R47" s="109">
        <f>MEDIAN(R44:R46,S44:S46)</f>
        <v>45.5</v>
      </c>
      <c r="S47" s="4"/>
      <c r="T47" s="109">
        <f>MEDIAN(T44:T46,U44:U46)</f>
        <v>181.285</v>
      </c>
      <c r="U47" s="4"/>
      <c r="V47" s="109">
        <f>MEDIAN(V44:V46,W44:W46)</f>
        <v>223.385</v>
      </c>
      <c r="W47" s="4"/>
      <c r="X47" s="109">
        <f>MEDIAN(X44:X46,Y44:Y46)</f>
        <v>245.015</v>
      </c>
      <c r="Y47" s="4"/>
      <c r="Z47" s="109">
        <f>MEDIAN(Z44:Z46,AA44:AA46)</f>
        <v>286.7</v>
      </c>
      <c r="AA47" s="4"/>
      <c r="AB47" s="109">
        <f>MEDIAN(AB44:AB46,AC44:AC46)</f>
        <v>286.7</v>
      </c>
      <c r="AC47" s="4"/>
      <c r="AD47" s="109">
        <f>MEDIAN(AD44:AD46,AE44:AE46)</f>
        <v>286.7</v>
      </c>
      <c r="AE47" s="4"/>
    </row>
    <row r="48">
      <c r="A48" s="36"/>
    </row>
    <row r="49">
      <c r="A49" s="18" t="s">
        <v>22</v>
      </c>
      <c r="B49" s="20"/>
      <c r="C49" s="20"/>
      <c r="D49" s="20"/>
      <c r="E49" s="20"/>
      <c r="F49" s="21"/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>
      <c r="A50" s="23" t="s">
        <v>23</v>
      </c>
      <c r="B50" s="25">
        <v>50.0</v>
      </c>
      <c r="C50" s="25">
        <v>50.0</v>
      </c>
      <c r="D50" s="25">
        <v>50.0</v>
      </c>
      <c r="E50" s="25">
        <v>25.0</v>
      </c>
      <c r="F50" s="25">
        <v>25.0</v>
      </c>
      <c r="G50" s="25">
        <v>25.0</v>
      </c>
      <c r="H50" s="26">
        <v>81.75</v>
      </c>
      <c r="I50" s="26">
        <v>121.41</v>
      </c>
      <c r="J50" s="26">
        <v>88.0</v>
      </c>
      <c r="K50" s="26">
        <v>103.24</v>
      </c>
      <c r="L50" s="26">
        <v>88.29</v>
      </c>
      <c r="M50" s="26">
        <v>100.55</v>
      </c>
      <c r="N50" s="27">
        <v>41.2</v>
      </c>
      <c r="O50" s="27">
        <v>46.5</v>
      </c>
      <c r="P50" s="27">
        <v>46.5</v>
      </c>
      <c r="Q50" s="27">
        <v>46.5</v>
      </c>
      <c r="R50" s="27">
        <v>46.5</v>
      </c>
      <c r="S50" s="27">
        <v>46.5</v>
      </c>
      <c r="T50" s="30">
        <v>12.99</v>
      </c>
      <c r="U50" s="30">
        <v>26.63</v>
      </c>
      <c r="V50" s="30">
        <v>55.12</v>
      </c>
      <c r="W50" s="30">
        <v>61.91</v>
      </c>
      <c r="X50" s="30">
        <v>76.14</v>
      </c>
      <c r="Y50" s="30">
        <v>79.68</v>
      </c>
      <c r="Z50" s="29">
        <v>140.6</v>
      </c>
      <c r="AA50" s="29">
        <v>288.5</v>
      </c>
      <c r="AB50" s="29">
        <v>292.3</v>
      </c>
      <c r="AC50" s="29">
        <v>292.3</v>
      </c>
      <c r="AD50" s="29">
        <v>292.3</v>
      </c>
      <c r="AE50" s="29">
        <v>292.3</v>
      </c>
    </row>
    <row r="51">
      <c r="A51" s="23" t="s">
        <v>24</v>
      </c>
      <c r="B51" s="38">
        <v>50.0</v>
      </c>
      <c r="C51" s="38">
        <v>50.0</v>
      </c>
      <c r="D51" s="38">
        <v>50.0</v>
      </c>
      <c r="E51" s="38">
        <v>50.0</v>
      </c>
      <c r="F51" s="38">
        <v>50.0</v>
      </c>
      <c r="G51" s="38">
        <v>25.0</v>
      </c>
      <c r="H51" s="26">
        <v>88.43</v>
      </c>
      <c r="I51" s="26">
        <v>123.66</v>
      </c>
      <c r="J51" s="26">
        <v>89.73</v>
      </c>
      <c r="K51" s="26">
        <v>107.31</v>
      </c>
      <c r="L51" s="26">
        <v>88.14</v>
      </c>
      <c r="M51" s="26">
        <v>99.5</v>
      </c>
      <c r="N51" s="27">
        <v>46.5</v>
      </c>
      <c r="O51" s="27">
        <v>46.5</v>
      </c>
      <c r="P51" s="27">
        <v>46.5</v>
      </c>
      <c r="Q51" s="27">
        <v>46.5</v>
      </c>
      <c r="R51" s="27">
        <v>46.5</v>
      </c>
      <c r="S51" s="27">
        <v>46.5</v>
      </c>
      <c r="T51" s="30">
        <v>79.9</v>
      </c>
      <c r="U51" s="30">
        <v>100.91</v>
      </c>
      <c r="V51" s="30">
        <v>129.79</v>
      </c>
      <c r="W51" s="30">
        <v>136.73</v>
      </c>
      <c r="X51" s="30">
        <v>151.06</v>
      </c>
      <c r="Y51" s="30">
        <v>154.56</v>
      </c>
      <c r="Z51" s="29">
        <v>292.341</v>
      </c>
      <c r="AA51" s="29">
        <v>292.353</v>
      </c>
      <c r="AB51" s="29">
        <v>292.381</v>
      </c>
      <c r="AC51" s="29">
        <v>292.387</v>
      </c>
      <c r="AD51" s="29">
        <v>292.401</v>
      </c>
      <c r="AE51" s="29">
        <v>292.404</v>
      </c>
    </row>
    <row r="52">
      <c r="A52" s="23" t="s">
        <v>25</v>
      </c>
      <c r="B52" s="38">
        <v>25.0</v>
      </c>
      <c r="C52" s="38">
        <v>25.0</v>
      </c>
      <c r="D52" s="38">
        <v>50.0</v>
      </c>
      <c r="E52" s="38">
        <v>50.0</v>
      </c>
      <c r="F52" s="38">
        <v>25.0</v>
      </c>
      <c r="G52" s="38">
        <v>50.0</v>
      </c>
      <c r="H52" s="26">
        <v>94.33</v>
      </c>
      <c r="I52" s="26">
        <v>123.45</v>
      </c>
      <c r="J52" s="26">
        <v>88.45</v>
      </c>
      <c r="K52" s="26">
        <v>103.18</v>
      </c>
      <c r="L52" s="26">
        <v>88.44</v>
      </c>
      <c r="M52" s="26">
        <v>100.23</v>
      </c>
      <c r="N52" s="27">
        <v>46.5</v>
      </c>
      <c r="O52" s="27">
        <v>46.5</v>
      </c>
      <c r="P52" s="27">
        <v>46.5</v>
      </c>
      <c r="Q52" s="27">
        <v>46.5</v>
      </c>
      <c r="R52" s="27">
        <v>46.5</v>
      </c>
      <c r="S52" s="27">
        <v>46.5</v>
      </c>
      <c r="T52" s="30">
        <v>162.04</v>
      </c>
      <c r="U52" s="30">
        <v>174.1</v>
      </c>
      <c r="V52" s="30">
        <v>202.87</v>
      </c>
      <c r="W52" s="30">
        <v>211.13</v>
      </c>
      <c r="X52" s="30">
        <v>225.64</v>
      </c>
      <c r="Y52" s="30">
        <v>230.43</v>
      </c>
      <c r="Z52" s="29">
        <v>292.412</v>
      </c>
      <c r="AA52" s="29">
        <v>292.423</v>
      </c>
      <c r="AB52" s="29">
        <v>292.452</v>
      </c>
      <c r="AC52" s="29">
        <v>292.457</v>
      </c>
      <c r="AD52" s="29">
        <v>292.472</v>
      </c>
      <c r="AE52" s="29">
        <v>292.474</v>
      </c>
    </row>
    <row r="53">
      <c r="A53" s="31" t="s">
        <v>12</v>
      </c>
      <c r="B53" s="109">
        <f>MEDIAN(B50:B52,C50:C52)</f>
        <v>50</v>
      </c>
      <c r="C53" s="4"/>
      <c r="D53" s="109">
        <f>MEDIAN(D50:D52,E50:E52)</f>
        <v>50</v>
      </c>
      <c r="E53" s="4"/>
      <c r="F53" s="109">
        <f>MEDIAN(F50:F52,G50:G52)</f>
        <v>25</v>
      </c>
      <c r="G53" s="4"/>
      <c r="H53" s="109">
        <f>MEDIAN(H50:H52,I50:I52)</f>
        <v>107.87</v>
      </c>
      <c r="I53" s="4"/>
      <c r="J53" s="109">
        <f>MEDIAN(J50:J52,K50:K52)</f>
        <v>96.455</v>
      </c>
      <c r="K53" s="4"/>
      <c r="L53" s="109">
        <f>MEDIAN(L50:L52,M50:M52)</f>
        <v>93.97</v>
      </c>
      <c r="M53" s="4"/>
      <c r="N53" s="109">
        <f>MEDIAN(N50:N52,O50:O52)</f>
        <v>46.5</v>
      </c>
      <c r="O53" s="4"/>
      <c r="P53" s="109">
        <f>MEDIAN(P50:P52,Q50:Q52)</f>
        <v>46.5</v>
      </c>
      <c r="Q53" s="4"/>
      <c r="R53" s="109">
        <f>MEDIAN(R50:R52,S50:S52)</f>
        <v>46.5</v>
      </c>
      <c r="S53" s="4"/>
      <c r="T53" s="109">
        <f>MEDIAN(T50:T52,U50:U52)</f>
        <v>90.405</v>
      </c>
      <c r="U53" s="4"/>
      <c r="V53" s="109">
        <f>MEDIAN(V50:V52,W50:W52)</f>
        <v>133.26</v>
      </c>
      <c r="W53" s="4"/>
      <c r="X53" s="109">
        <f>MEDIAN(X50:X52,Y50:Y52)</f>
        <v>152.81</v>
      </c>
      <c r="Y53" s="4"/>
      <c r="Z53" s="109">
        <f>MEDIAN(Z50:Z52,AA50:AA52)</f>
        <v>292.347</v>
      </c>
      <c r="AA53" s="4"/>
      <c r="AB53" s="109">
        <f>MEDIAN(AB50:AB52,AC50:AC52)</f>
        <v>292.384</v>
      </c>
      <c r="AC53" s="4"/>
      <c r="AD53" s="109">
        <f>MEDIAN(AD50:AD52,AE50:AE52)</f>
        <v>292.4025</v>
      </c>
      <c r="AE53" s="4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AF54" s="36"/>
      <c r="AG54" s="36"/>
      <c r="AH54" s="36"/>
      <c r="AI54" s="36"/>
      <c r="AJ54" s="36"/>
      <c r="AK54" s="36"/>
    </row>
    <row r="5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AF55" s="36"/>
      <c r="AG55" s="36"/>
      <c r="AH55" s="36"/>
      <c r="AI55" s="36"/>
      <c r="AJ55" s="36"/>
      <c r="AK55" s="36"/>
    </row>
    <row r="56">
      <c r="A56" s="110" t="s">
        <v>153</v>
      </c>
      <c r="B56" s="5" t="s">
        <v>2</v>
      </c>
      <c r="C56" s="3"/>
      <c r="D56" s="4"/>
      <c r="E56" s="6" t="s">
        <v>3</v>
      </c>
      <c r="F56" s="3"/>
      <c r="G56" s="4"/>
      <c r="H56" s="7" t="s">
        <v>4</v>
      </c>
      <c r="I56" s="3"/>
      <c r="J56" s="4"/>
      <c r="K56" s="8" t="s">
        <v>5</v>
      </c>
      <c r="L56" s="3"/>
      <c r="M56" s="4"/>
      <c r="N56" s="9" t="s">
        <v>6</v>
      </c>
      <c r="O56" s="3"/>
      <c r="P56" s="4"/>
      <c r="T56" s="36"/>
      <c r="U56" s="36"/>
      <c r="V56" s="36"/>
      <c r="W56" s="36"/>
      <c r="X56" s="36"/>
      <c r="Y56" s="36"/>
      <c r="AF56" s="36"/>
      <c r="AG56" s="36"/>
      <c r="AH56" s="36"/>
      <c r="AI56" s="36"/>
      <c r="AJ56" s="36"/>
      <c r="AK56" s="36"/>
    </row>
    <row r="57">
      <c r="A57" s="98"/>
      <c r="B57" s="12">
        <v>4096.0</v>
      </c>
      <c r="C57" s="12">
        <v>8192.0</v>
      </c>
      <c r="D57" s="12">
        <v>16384.0</v>
      </c>
      <c r="E57" s="13">
        <v>4096.0</v>
      </c>
      <c r="F57" s="13">
        <v>8192.0</v>
      </c>
      <c r="G57" s="13">
        <v>16384.0</v>
      </c>
      <c r="H57" s="14">
        <v>4096.0</v>
      </c>
      <c r="I57" s="14">
        <v>8192.0</v>
      </c>
      <c r="J57" s="14">
        <v>16384.0</v>
      </c>
      <c r="K57" s="15">
        <v>4096.0</v>
      </c>
      <c r="L57" s="15">
        <v>8192.0</v>
      </c>
      <c r="M57" s="15">
        <v>16384.0</v>
      </c>
      <c r="N57" s="16">
        <v>4096.0</v>
      </c>
      <c r="O57" s="16">
        <v>8192.0</v>
      </c>
      <c r="P57" s="16">
        <v>16384.0</v>
      </c>
      <c r="T57" s="36"/>
      <c r="U57" s="36"/>
      <c r="V57" s="36"/>
      <c r="W57" s="36"/>
      <c r="X57" s="36"/>
      <c r="Y57" s="36"/>
      <c r="AF57" s="36"/>
      <c r="AG57" s="36"/>
      <c r="AH57" s="36"/>
      <c r="AI57" s="36"/>
      <c r="AJ57" s="36"/>
      <c r="AK57" s="36"/>
    </row>
    <row r="58">
      <c r="A58" s="18" t="s">
        <v>8</v>
      </c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T58" s="36"/>
      <c r="U58" s="36"/>
      <c r="V58" s="36"/>
      <c r="W58" s="36"/>
      <c r="X58" s="36"/>
      <c r="Y58" s="36"/>
      <c r="AF58" s="36"/>
      <c r="AG58" s="36"/>
      <c r="AH58" s="36"/>
      <c r="AI58" s="36"/>
      <c r="AJ58" s="36"/>
      <c r="AK58" s="36"/>
    </row>
    <row r="59">
      <c r="A59" s="112" t="s">
        <v>12</v>
      </c>
      <c r="B59" s="99">
        <f>(B7-B35)</f>
        <v>-11.7</v>
      </c>
      <c r="C59" s="99">
        <f>(C7-D35)</f>
        <v>8.3</v>
      </c>
      <c r="D59" s="99">
        <f>(D7-F35)</f>
        <v>8.3</v>
      </c>
      <c r="E59" s="99">
        <f>(E7-H35)</f>
        <v>2.02</v>
      </c>
      <c r="F59" s="99">
        <f>(F7-J35)</f>
        <v>1.545</v>
      </c>
      <c r="G59" s="99">
        <f>(G7-L35)</f>
        <v>1.64</v>
      </c>
      <c r="H59" s="99">
        <f>(H7-N35)</f>
        <v>1.05</v>
      </c>
      <c r="I59" s="99">
        <f>(I7-P35)</f>
        <v>0</v>
      </c>
      <c r="J59" s="99">
        <f>(J7-R35)</f>
        <v>0</v>
      </c>
      <c r="K59" s="99">
        <f>(K7-T35)</f>
        <v>0.82</v>
      </c>
      <c r="L59" s="99">
        <f>(L7-V35)</f>
        <v>1.555</v>
      </c>
      <c r="M59" s="99">
        <f>(M7-X35)</f>
        <v>1.56</v>
      </c>
      <c r="N59" s="99">
        <f>(N7-Z35)</f>
        <v>-2</v>
      </c>
      <c r="O59" s="99">
        <f>(O7-AB35)</f>
        <v>0</v>
      </c>
      <c r="P59" s="99">
        <f>(P7-AD35)</f>
        <v>0</v>
      </c>
      <c r="T59" s="36"/>
      <c r="U59" s="36"/>
      <c r="V59" s="36"/>
      <c r="W59" s="36"/>
      <c r="X59" s="36"/>
      <c r="Y59" s="36"/>
      <c r="AF59" s="36"/>
      <c r="AG59" s="36"/>
      <c r="AH59" s="36"/>
      <c r="AI59" s="36"/>
      <c r="AJ59" s="36"/>
      <c r="AK59" s="36"/>
    </row>
    <row r="60">
      <c r="A60" s="18" t="s">
        <v>14</v>
      </c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T60" s="36"/>
      <c r="U60" s="36"/>
      <c r="V60" s="36"/>
      <c r="W60" s="36"/>
      <c r="X60" s="36"/>
      <c r="Y60" s="36"/>
      <c r="AF60" s="36"/>
      <c r="AG60" s="36"/>
      <c r="AH60" s="36"/>
      <c r="AI60" s="36"/>
      <c r="AJ60" s="36"/>
      <c r="AK60" s="36"/>
    </row>
    <row r="61">
      <c r="A61" s="31" t="s">
        <v>12</v>
      </c>
      <c r="B61" s="95">
        <f>(B13-B41)</f>
        <v>-1.3</v>
      </c>
      <c r="C61" s="95">
        <f>(C13-D41)</f>
        <v>8.3</v>
      </c>
      <c r="D61" s="95">
        <f>(D13-F41)</f>
        <v>0</v>
      </c>
      <c r="E61" s="95">
        <f>(E13-H41)</f>
        <v>1.95</v>
      </c>
      <c r="F61" s="95">
        <f>(F13-J41)</f>
        <v>-1.315</v>
      </c>
      <c r="G61" s="95">
        <f>(G13-L41)</f>
        <v>0.99</v>
      </c>
      <c r="H61" s="95">
        <f>(H13-N41)</f>
        <v>0</v>
      </c>
      <c r="I61" s="95">
        <f>(I13-P41)</f>
        <v>0</v>
      </c>
      <c r="J61" s="95">
        <f>(J13-R41)</f>
        <v>0</v>
      </c>
      <c r="K61" s="95">
        <f>(K13-T41)</f>
        <v>3.81</v>
      </c>
      <c r="L61" s="95">
        <f>(L13-V41)</f>
        <v>2.105</v>
      </c>
      <c r="M61" s="95">
        <f>(M13-X41)</f>
        <v>1.965</v>
      </c>
      <c r="N61" s="95">
        <f>(N13-Z41)</f>
        <v>0.005</v>
      </c>
      <c r="O61" s="95">
        <f>(O13-AB41)</f>
        <v>0</v>
      </c>
      <c r="P61" s="95">
        <f>(P13-AD41)</f>
        <v>-2.065</v>
      </c>
      <c r="T61" s="36"/>
      <c r="U61" s="36"/>
      <c r="V61" s="36"/>
      <c r="W61" s="36"/>
      <c r="X61" s="36"/>
      <c r="Y61" s="36"/>
      <c r="AF61" s="36"/>
      <c r="AG61" s="36"/>
      <c r="AH61" s="36"/>
      <c r="AI61" s="36"/>
      <c r="AJ61" s="36"/>
      <c r="AK61" s="36"/>
    </row>
    <row r="62">
      <c r="A62" s="18" t="s">
        <v>18</v>
      </c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T62" s="36"/>
      <c r="U62" s="36"/>
      <c r="V62" s="36"/>
      <c r="W62" s="36"/>
      <c r="X62" s="36"/>
      <c r="Y62" s="36"/>
      <c r="AF62" s="36"/>
      <c r="AG62" s="36"/>
      <c r="AH62" s="36"/>
      <c r="AI62" s="36"/>
      <c r="AJ62" s="36"/>
      <c r="AK62" s="36"/>
    </row>
    <row r="63">
      <c r="A63" s="31" t="s">
        <v>12</v>
      </c>
      <c r="B63" s="95">
        <f>(B19-B47)</f>
        <v>8.3</v>
      </c>
      <c r="C63" s="95">
        <f>(C19-D47)</f>
        <v>4.15</v>
      </c>
      <c r="D63" s="95">
        <f>(D19-F47)</f>
        <v>0</v>
      </c>
      <c r="E63" s="95">
        <f>(E19-H47)</f>
        <v>0.41</v>
      </c>
      <c r="F63" s="95">
        <f>(F19-J47)</f>
        <v>-0.315</v>
      </c>
      <c r="G63" s="95">
        <f>(G19-L47)</f>
        <v>0.335</v>
      </c>
      <c r="H63" s="95">
        <f>(H19-N47)</f>
        <v>0</v>
      </c>
      <c r="I63" s="95">
        <f>(I19-P47)</f>
        <v>0</v>
      </c>
      <c r="J63" s="95">
        <f>(J19-R47)</f>
        <v>0</v>
      </c>
      <c r="K63" s="95">
        <f>(K19-T47)</f>
        <v>2.095</v>
      </c>
      <c r="L63" s="95">
        <f>(L19-V47)</f>
        <v>2.065</v>
      </c>
      <c r="M63" s="95">
        <f>(M19-X47)</f>
        <v>1.755</v>
      </c>
      <c r="N63" s="95">
        <f>(N19-Z47)</f>
        <v>0</v>
      </c>
      <c r="O63" s="95">
        <f>(O19-AB47)</f>
        <v>0</v>
      </c>
      <c r="P63" s="95">
        <f>(P19-AD47)</f>
        <v>0</v>
      </c>
      <c r="T63" s="36"/>
      <c r="U63" s="36"/>
      <c r="V63" s="36"/>
      <c r="W63" s="36"/>
      <c r="X63" s="36"/>
      <c r="Y63" s="36"/>
      <c r="AF63" s="36"/>
      <c r="AG63" s="36"/>
      <c r="AH63" s="36"/>
      <c r="AI63" s="36"/>
      <c r="AJ63" s="36"/>
      <c r="AK63" s="36"/>
    </row>
    <row r="64">
      <c r="A64" s="18" t="s">
        <v>22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T64" s="36"/>
      <c r="U64" s="36"/>
      <c r="V64" s="36"/>
      <c r="W64" s="36"/>
      <c r="X64" s="36"/>
      <c r="Y64" s="36"/>
      <c r="AF64" s="36"/>
      <c r="AG64" s="36"/>
      <c r="AH64" s="36"/>
      <c r="AI64" s="36"/>
      <c r="AJ64" s="36"/>
      <c r="AK64" s="36"/>
    </row>
    <row r="65">
      <c r="A65" s="31" t="s">
        <v>12</v>
      </c>
      <c r="B65" s="95">
        <f>(B25-B53)</f>
        <v>-16.7</v>
      </c>
      <c r="C65" s="95">
        <f>(C25-D53)</f>
        <v>-16.7</v>
      </c>
      <c r="D65" s="95">
        <f>(D25-F53)</f>
        <v>8.3</v>
      </c>
      <c r="E65" s="95">
        <f>(E25-H53)</f>
        <v>-0.86</v>
      </c>
      <c r="F65" s="95">
        <f>(F25-J53)</f>
        <v>1.415</v>
      </c>
      <c r="G65" s="95">
        <f>(G25-L53)</f>
        <v>0</v>
      </c>
      <c r="H65" s="95">
        <f>(H25-N53)</f>
        <v>0</v>
      </c>
      <c r="I65" s="95">
        <f>(I25-P53)</f>
        <v>0</v>
      </c>
      <c r="J65" s="95">
        <f>(J25-R53)</f>
        <v>0</v>
      </c>
      <c r="K65" s="95">
        <f>(K25-T53)</f>
        <v>3.015</v>
      </c>
      <c r="L65" s="95">
        <f>(L25-V53)</f>
        <v>0.46</v>
      </c>
      <c r="M65" s="95">
        <f>(M25-X53)</f>
        <v>0.29</v>
      </c>
      <c r="N65" s="95">
        <f>(N25-Z53)</f>
        <v>-0.007</v>
      </c>
      <c r="O65" s="95">
        <f>(O25-AB53)</f>
        <v>-0.004</v>
      </c>
      <c r="P65" s="95">
        <f>(P25-AD53)</f>
        <v>-0.0025</v>
      </c>
      <c r="T65" s="36"/>
      <c r="U65" s="36"/>
      <c r="V65" s="36"/>
      <c r="W65" s="36"/>
      <c r="X65" s="36"/>
      <c r="Y65" s="36"/>
      <c r="AF65" s="36"/>
      <c r="AG65" s="36"/>
      <c r="AH65" s="36"/>
      <c r="AI65" s="36"/>
      <c r="AJ65" s="36"/>
      <c r="AK65" s="36"/>
    </row>
    <row r="66">
      <c r="A66" s="10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AF66" s="36"/>
      <c r="AG66" s="36"/>
      <c r="AH66" s="36"/>
      <c r="AI66" s="36"/>
      <c r="AJ66" s="36"/>
      <c r="AK66" s="36"/>
    </row>
    <row r="67">
      <c r="U67" s="36"/>
      <c r="V67" s="36"/>
      <c r="W67" s="36"/>
      <c r="X67" s="36"/>
      <c r="Y67" s="36"/>
      <c r="AF67" s="36"/>
      <c r="AG67" s="36"/>
      <c r="AH67" s="36"/>
      <c r="AI67" s="36"/>
      <c r="AJ67" s="36"/>
      <c r="AK67" s="36"/>
    </row>
    <row r="68">
      <c r="U68" s="36"/>
      <c r="V68" s="36"/>
      <c r="W68" s="36"/>
      <c r="X68" s="36"/>
      <c r="Y68" s="36"/>
      <c r="AF68" s="36"/>
      <c r="AG68" s="36"/>
      <c r="AH68" s="36"/>
      <c r="AI68" s="36"/>
      <c r="AJ68" s="36"/>
      <c r="AK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AF69" s="36"/>
      <c r="AG69" s="36"/>
      <c r="AH69" s="36"/>
      <c r="AI69" s="36"/>
      <c r="AJ69" s="36"/>
      <c r="AK69" s="36"/>
    </row>
    <row r="70">
      <c r="U70" s="36"/>
      <c r="V70" s="36"/>
      <c r="W70" s="36"/>
      <c r="X70" s="36"/>
      <c r="Y70" s="36"/>
      <c r="AF70" s="36"/>
      <c r="AG70" s="36"/>
      <c r="AH70" s="36"/>
      <c r="AI70" s="36"/>
      <c r="AJ70" s="36"/>
      <c r="AK70" s="36"/>
    </row>
    <row r="71">
      <c r="U71" s="36"/>
      <c r="V71" s="36"/>
      <c r="W71" s="36"/>
      <c r="X71" s="36"/>
      <c r="Y71" s="36"/>
      <c r="AF71" s="36"/>
      <c r="AG71" s="36"/>
      <c r="AH71" s="36"/>
      <c r="AI71" s="36"/>
      <c r="AJ71" s="36"/>
      <c r="AK71" s="36"/>
    </row>
    <row r="72">
      <c r="U72" s="36"/>
      <c r="V72" s="36"/>
      <c r="W72" s="36"/>
      <c r="X72" s="36"/>
      <c r="Y72" s="36"/>
      <c r="AF72" s="36"/>
      <c r="AG72" s="36"/>
      <c r="AH72" s="36"/>
      <c r="AI72" s="36"/>
      <c r="AJ72" s="36"/>
      <c r="AK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AF73" s="36"/>
      <c r="AG73" s="36"/>
      <c r="AH73" s="36"/>
      <c r="AI73" s="36"/>
      <c r="AJ73" s="36"/>
      <c r="AK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AF74" s="36"/>
      <c r="AG74" s="36"/>
      <c r="AH74" s="36"/>
      <c r="AI74" s="36"/>
      <c r="AJ74" s="36"/>
      <c r="AK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AF75" s="36"/>
      <c r="AG75" s="36"/>
      <c r="AH75" s="36"/>
      <c r="AI75" s="36"/>
      <c r="AJ75" s="36"/>
      <c r="AK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AF76" s="36"/>
      <c r="AG76" s="36"/>
      <c r="AH76" s="36"/>
      <c r="AI76" s="36"/>
      <c r="AJ76" s="36"/>
      <c r="AK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AF77" s="36"/>
      <c r="AG77" s="36"/>
      <c r="AH77" s="36"/>
      <c r="AI77" s="36"/>
      <c r="AJ77" s="36"/>
      <c r="AK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AF78" s="36"/>
      <c r="AG78" s="36"/>
      <c r="AH78" s="36"/>
      <c r="AI78" s="36"/>
      <c r="AJ78" s="36"/>
      <c r="AK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AF79" s="36"/>
      <c r="AG79" s="36"/>
      <c r="AH79" s="36"/>
      <c r="AI79" s="36"/>
      <c r="AJ79" s="36"/>
      <c r="AK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AF80" s="36"/>
      <c r="AG80" s="36"/>
      <c r="AH80" s="36"/>
      <c r="AI80" s="36"/>
      <c r="AJ80" s="36"/>
      <c r="AK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AF81" s="36"/>
      <c r="AG81" s="36"/>
      <c r="AH81" s="36"/>
      <c r="AI81" s="36"/>
      <c r="AJ81" s="36"/>
      <c r="AK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AF82" s="36"/>
      <c r="AG82" s="36"/>
      <c r="AH82" s="36"/>
      <c r="AI82" s="36"/>
      <c r="AJ82" s="36"/>
      <c r="AK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AF83" s="36"/>
      <c r="AG83" s="36"/>
      <c r="AH83" s="36"/>
      <c r="AI83" s="36"/>
      <c r="AJ83" s="36"/>
      <c r="AK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AF84" s="36"/>
      <c r="AG84" s="36"/>
      <c r="AH84" s="36"/>
      <c r="AI84" s="36"/>
      <c r="AJ84" s="36"/>
      <c r="AK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AF85" s="36"/>
      <c r="AG85" s="36"/>
      <c r="AH85" s="36"/>
      <c r="AI85" s="36"/>
      <c r="AJ85" s="36"/>
      <c r="AK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AF86" s="36"/>
      <c r="AG86" s="36"/>
      <c r="AH86" s="36"/>
      <c r="AI86" s="36"/>
      <c r="AJ86" s="36"/>
      <c r="AK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AF87" s="36"/>
      <c r="AG87" s="36"/>
      <c r="AH87" s="36"/>
      <c r="AI87" s="36"/>
      <c r="AJ87" s="36"/>
      <c r="AK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AF88" s="36"/>
      <c r="AG88" s="36"/>
      <c r="AH88" s="36"/>
      <c r="AI88" s="36"/>
      <c r="AJ88" s="36"/>
      <c r="AK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AF89" s="36"/>
      <c r="AG89" s="36"/>
      <c r="AH89" s="36"/>
      <c r="AI89" s="36"/>
      <c r="AJ89" s="36"/>
      <c r="AK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AF90" s="36"/>
      <c r="AG90" s="36"/>
      <c r="AH90" s="36"/>
      <c r="AI90" s="36"/>
      <c r="AJ90" s="36"/>
      <c r="AK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AF91" s="36"/>
      <c r="AG91" s="36"/>
      <c r="AH91" s="36"/>
      <c r="AI91" s="36"/>
      <c r="AJ91" s="36"/>
      <c r="AK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AF92" s="36"/>
      <c r="AG92" s="36"/>
      <c r="AH92" s="36"/>
      <c r="AI92" s="36"/>
      <c r="AJ92" s="36"/>
      <c r="AK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AF93" s="36"/>
      <c r="AG93" s="36"/>
      <c r="AH93" s="36"/>
      <c r="AI93" s="36"/>
      <c r="AJ93" s="36"/>
      <c r="AK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AF94" s="36"/>
      <c r="AG94" s="36"/>
      <c r="AH94" s="36"/>
      <c r="AI94" s="36"/>
      <c r="AJ94" s="36"/>
      <c r="AK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AF95" s="36"/>
      <c r="AG95" s="36"/>
      <c r="AH95" s="36"/>
      <c r="AI95" s="36"/>
      <c r="AJ95" s="36"/>
      <c r="AK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AF96" s="36"/>
      <c r="AG96" s="36"/>
      <c r="AH96" s="36"/>
      <c r="AI96" s="36"/>
      <c r="AJ96" s="36"/>
      <c r="AK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AF97" s="36"/>
      <c r="AG97" s="36"/>
      <c r="AH97" s="36"/>
      <c r="AI97" s="36"/>
      <c r="AJ97" s="36"/>
      <c r="AK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AF98" s="36"/>
      <c r="AG98" s="36"/>
      <c r="AH98" s="36"/>
      <c r="AI98" s="36"/>
      <c r="AJ98" s="36"/>
      <c r="AK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AF99" s="36"/>
      <c r="AG99" s="36"/>
      <c r="AH99" s="36"/>
      <c r="AI99" s="36"/>
      <c r="AJ99" s="36"/>
      <c r="AK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AF100" s="36"/>
      <c r="AG100" s="36"/>
      <c r="AH100" s="36"/>
      <c r="AI100" s="36"/>
      <c r="AJ100" s="36"/>
      <c r="AK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AF101" s="36"/>
      <c r="AG101" s="36"/>
      <c r="AH101" s="36"/>
      <c r="AI101" s="36"/>
      <c r="AJ101" s="36"/>
      <c r="AK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AF102" s="36"/>
      <c r="AG102" s="36"/>
      <c r="AH102" s="36"/>
      <c r="AI102" s="36"/>
      <c r="AJ102" s="36"/>
      <c r="AK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AF103" s="36"/>
      <c r="AG103" s="36"/>
      <c r="AH103" s="36"/>
      <c r="AI103" s="36"/>
      <c r="AJ103" s="36"/>
      <c r="AK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AF104" s="36"/>
      <c r="AG104" s="36"/>
      <c r="AH104" s="36"/>
      <c r="AI104" s="36"/>
      <c r="AJ104" s="36"/>
      <c r="AK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AF105" s="36"/>
      <c r="AG105" s="36"/>
      <c r="AH105" s="36"/>
      <c r="AI105" s="36"/>
      <c r="AJ105" s="36"/>
      <c r="AK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AF106" s="36"/>
      <c r="AG106" s="36"/>
      <c r="AH106" s="36"/>
      <c r="AI106" s="36"/>
      <c r="AJ106" s="36"/>
      <c r="AK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AF107" s="36"/>
      <c r="AG107" s="36"/>
      <c r="AH107" s="36"/>
      <c r="AI107" s="36"/>
      <c r="AJ107" s="36"/>
      <c r="AK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AF108" s="36"/>
      <c r="AG108" s="36"/>
      <c r="AH108" s="36"/>
      <c r="AI108" s="36"/>
      <c r="AJ108" s="36"/>
      <c r="AK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AF109" s="36"/>
      <c r="AG109" s="36"/>
      <c r="AH109" s="36"/>
      <c r="AI109" s="36"/>
      <c r="AJ109" s="36"/>
      <c r="AK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AF110" s="36"/>
      <c r="AG110" s="36"/>
      <c r="AH110" s="36"/>
      <c r="AI110" s="36"/>
      <c r="AJ110" s="36"/>
      <c r="AK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AF111" s="36"/>
      <c r="AG111" s="36"/>
      <c r="AH111" s="36"/>
      <c r="AI111" s="36"/>
      <c r="AJ111" s="36"/>
      <c r="AK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AF112" s="36"/>
      <c r="AG112" s="36"/>
      <c r="AH112" s="36"/>
      <c r="AI112" s="36"/>
      <c r="AJ112" s="36"/>
      <c r="AK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AF113" s="36"/>
      <c r="AG113" s="36"/>
      <c r="AH113" s="36"/>
      <c r="AI113" s="36"/>
      <c r="AJ113" s="36"/>
      <c r="AK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AF114" s="36"/>
      <c r="AG114" s="36"/>
      <c r="AH114" s="36"/>
      <c r="AI114" s="36"/>
      <c r="AJ114" s="36"/>
      <c r="AK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AF115" s="36"/>
      <c r="AG115" s="36"/>
      <c r="AH115" s="36"/>
      <c r="AI115" s="36"/>
      <c r="AJ115" s="36"/>
      <c r="AK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AF116" s="36"/>
      <c r="AG116" s="36"/>
      <c r="AH116" s="36"/>
      <c r="AI116" s="36"/>
      <c r="AJ116" s="36"/>
      <c r="AK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AF117" s="36"/>
      <c r="AG117" s="36"/>
      <c r="AH117" s="36"/>
      <c r="AI117" s="36"/>
      <c r="AJ117" s="36"/>
      <c r="AK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AF118" s="36"/>
      <c r="AG118" s="36"/>
      <c r="AH118" s="36"/>
      <c r="AI118" s="36"/>
      <c r="AJ118" s="36"/>
      <c r="AK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AF119" s="36"/>
      <c r="AG119" s="36"/>
      <c r="AH119" s="36"/>
      <c r="AI119" s="36"/>
      <c r="AJ119" s="36"/>
      <c r="AK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AF120" s="36"/>
      <c r="AG120" s="36"/>
      <c r="AH120" s="36"/>
      <c r="AI120" s="36"/>
      <c r="AJ120" s="36"/>
      <c r="AK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AF121" s="36"/>
      <c r="AG121" s="36"/>
      <c r="AH121" s="36"/>
      <c r="AI121" s="36"/>
      <c r="AJ121" s="36"/>
      <c r="AK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AF122" s="36"/>
      <c r="AG122" s="36"/>
      <c r="AH122" s="36"/>
      <c r="AI122" s="36"/>
      <c r="AJ122" s="36"/>
      <c r="AK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AF123" s="36"/>
      <c r="AG123" s="36"/>
      <c r="AH123" s="36"/>
      <c r="AI123" s="36"/>
      <c r="AJ123" s="36"/>
      <c r="AK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AF124" s="36"/>
      <c r="AG124" s="36"/>
      <c r="AH124" s="36"/>
      <c r="AI124" s="36"/>
      <c r="AJ124" s="36"/>
      <c r="AK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AF125" s="36"/>
      <c r="AG125" s="36"/>
      <c r="AH125" s="36"/>
      <c r="AI125" s="36"/>
      <c r="AJ125" s="36"/>
      <c r="AK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AF126" s="36"/>
      <c r="AG126" s="36"/>
      <c r="AH126" s="36"/>
      <c r="AI126" s="36"/>
      <c r="AJ126" s="36"/>
      <c r="AK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AF127" s="36"/>
      <c r="AG127" s="36"/>
      <c r="AH127" s="36"/>
      <c r="AI127" s="36"/>
      <c r="AJ127" s="36"/>
      <c r="AK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AF128" s="36"/>
      <c r="AG128" s="36"/>
      <c r="AH128" s="36"/>
      <c r="AI128" s="36"/>
      <c r="AJ128" s="36"/>
      <c r="AK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AF129" s="36"/>
      <c r="AG129" s="36"/>
      <c r="AH129" s="36"/>
      <c r="AI129" s="36"/>
      <c r="AJ129" s="36"/>
      <c r="AK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AF130" s="36"/>
      <c r="AG130" s="36"/>
      <c r="AH130" s="36"/>
      <c r="AI130" s="36"/>
      <c r="AJ130" s="36"/>
      <c r="AK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AF131" s="36"/>
      <c r="AG131" s="36"/>
      <c r="AH131" s="36"/>
      <c r="AI131" s="36"/>
      <c r="AJ131" s="36"/>
      <c r="AK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AF132" s="36"/>
      <c r="AG132" s="36"/>
      <c r="AH132" s="36"/>
      <c r="AI132" s="36"/>
      <c r="AJ132" s="36"/>
      <c r="AK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AF133" s="36"/>
      <c r="AG133" s="36"/>
      <c r="AH133" s="36"/>
      <c r="AI133" s="36"/>
      <c r="AJ133" s="36"/>
      <c r="AK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AF134" s="36"/>
      <c r="AG134" s="36"/>
      <c r="AH134" s="36"/>
      <c r="AI134" s="36"/>
      <c r="AJ134" s="36"/>
      <c r="AK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AF135" s="36"/>
      <c r="AG135" s="36"/>
      <c r="AH135" s="36"/>
      <c r="AI135" s="36"/>
      <c r="AJ135" s="36"/>
      <c r="AK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AF136" s="36"/>
      <c r="AG136" s="36"/>
      <c r="AH136" s="36"/>
      <c r="AI136" s="36"/>
      <c r="AJ136" s="36"/>
      <c r="AK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AF137" s="36"/>
      <c r="AG137" s="36"/>
      <c r="AH137" s="36"/>
      <c r="AI137" s="36"/>
      <c r="AJ137" s="36"/>
      <c r="AK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AF138" s="36"/>
      <c r="AG138" s="36"/>
      <c r="AH138" s="36"/>
      <c r="AI138" s="36"/>
      <c r="AJ138" s="36"/>
      <c r="AK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AF139" s="36"/>
      <c r="AG139" s="36"/>
      <c r="AH139" s="36"/>
      <c r="AI139" s="36"/>
      <c r="AJ139" s="36"/>
      <c r="AK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AF140" s="36"/>
      <c r="AG140" s="36"/>
      <c r="AH140" s="36"/>
      <c r="AI140" s="36"/>
      <c r="AJ140" s="36"/>
      <c r="AK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AF141" s="36"/>
      <c r="AG141" s="36"/>
      <c r="AH141" s="36"/>
      <c r="AI141" s="36"/>
      <c r="AJ141" s="36"/>
      <c r="AK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AF142" s="36"/>
      <c r="AG142" s="36"/>
      <c r="AH142" s="36"/>
      <c r="AI142" s="36"/>
      <c r="AJ142" s="36"/>
      <c r="AK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AF143" s="36"/>
      <c r="AG143" s="36"/>
      <c r="AH143" s="36"/>
      <c r="AI143" s="36"/>
      <c r="AJ143" s="36"/>
      <c r="AK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AF144" s="36"/>
      <c r="AG144" s="36"/>
      <c r="AH144" s="36"/>
      <c r="AI144" s="36"/>
      <c r="AJ144" s="36"/>
      <c r="AK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AF145" s="36"/>
      <c r="AG145" s="36"/>
      <c r="AH145" s="36"/>
      <c r="AI145" s="36"/>
      <c r="AJ145" s="36"/>
      <c r="AK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AF146" s="36"/>
      <c r="AG146" s="36"/>
      <c r="AH146" s="36"/>
      <c r="AI146" s="36"/>
      <c r="AJ146" s="36"/>
      <c r="AK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AF147" s="36"/>
      <c r="AG147" s="36"/>
      <c r="AH147" s="36"/>
      <c r="AI147" s="36"/>
      <c r="AJ147" s="36"/>
      <c r="AK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AF148" s="36"/>
      <c r="AG148" s="36"/>
      <c r="AH148" s="36"/>
      <c r="AI148" s="36"/>
      <c r="AJ148" s="36"/>
      <c r="AK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AF149" s="36"/>
      <c r="AG149" s="36"/>
      <c r="AH149" s="36"/>
      <c r="AI149" s="36"/>
      <c r="AJ149" s="36"/>
      <c r="AK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AF150" s="36"/>
      <c r="AG150" s="36"/>
      <c r="AH150" s="36"/>
      <c r="AI150" s="36"/>
      <c r="AJ150" s="36"/>
      <c r="AK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AF151" s="36"/>
      <c r="AG151" s="36"/>
      <c r="AH151" s="36"/>
      <c r="AI151" s="36"/>
      <c r="AJ151" s="36"/>
      <c r="AK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AF152" s="36"/>
      <c r="AG152" s="36"/>
      <c r="AH152" s="36"/>
      <c r="AI152" s="36"/>
      <c r="AJ152" s="36"/>
      <c r="AK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AF153" s="36"/>
      <c r="AG153" s="36"/>
      <c r="AH153" s="36"/>
      <c r="AI153" s="36"/>
      <c r="AJ153" s="36"/>
      <c r="AK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AF154" s="36"/>
      <c r="AG154" s="36"/>
      <c r="AH154" s="36"/>
      <c r="AI154" s="36"/>
      <c r="AJ154" s="36"/>
      <c r="AK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AF155" s="36"/>
      <c r="AG155" s="36"/>
      <c r="AH155" s="36"/>
      <c r="AI155" s="36"/>
      <c r="AJ155" s="36"/>
      <c r="AK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AF156" s="36"/>
      <c r="AG156" s="36"/>
      <c r="AH156" s="36"/>
      <c r="AI156" s="36"/>
      <c r="AJ156" s="36"/>
      <c r="AK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AF157" s="36"/>
      <c r="AG157" s="36"/>
      <c r="AH157" s="36"/>
      <c r="AI157" s="36"/>
      <c r="AJ157" s="36"/>
      <c r="AK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AF158" s="36"/>
      <c r="AG158" s="36"/>
      <c r="AH158" s="36"/>
      <c r="AI158" s="36"/>
      <c r="AJ158" s="36"/>
      <c r="AK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AF159" s="36"/>
      <c r="AG159" s="36"/>
      <c r="AH159" s="36"/>
      <c r="AI159" s="36"/>
      <c r="AJ159" s="36"/>
      <c r="AK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AF160" s="36"/>
      <c r="AG160" s="36"/>
      <c r="AH160" s="36"/>
      <c r="AI160" s="36"/>
      <c r="AJ160" s="36"/>
      <c r="AK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AF161" s="36"/>
      <c r="AG161" s="36"/>
      <c r="AH161" s="36"/>
      <c r="AI161" s="36"/>
      <c r="AJ161" s="36"/>
      <c r="AK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AF162" s="36"/>
      <c r="AG162" s="36"/>
      <c r="AH162" s="36"/>
      <c r="AI162" s="36"/>
      <c r="AJ162" s="36"/>
      <c r="AK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AF163" s="36"/>
      <c r="AG163" s="36"/>
      <c r="AH163" s="36"/>
      <c r="AI163" s="36"/>
      <c r="AJ163" s="36"/>
      <c r="AK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AF164" s="36"/>
      <c r="AG164" s="36"/>
      <c r="AH164" s="36"/>
      <c r="AI164" s="36"/>
      <c r="AJ164" s="36"/>
      <c r="AK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AF165" s="36"/>
      <c r="AG165" s="36"/>
      <c r="AH165" s="36"/>
      <c r="AI165" s="36"/>
      <c r="AJ165" s="36"/>
      <c r="AK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AF166" s="36"/>
      <c r="AG166" s="36"/>
      <c r="AH166" s="36"/>
      <c r="AI166" s="36"/>
      <c r="AJ166" s="36"/>
      <c r="AK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AF167" s="36"/>
      <c r="AG167" s="36"/>
      <c r="AH167" s="36"/>
      <c r="AI167" s="36"/>
      <c r="AJ167" s="36"/>
      <c r="AK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AF168" s="36"/>
      <c r="AG168" s="36"/>
      <c r="AH168" s="36"/>
      <c r="AI168" s="36"/>
      <c r="AJ168" s="36"/>
      <c r="AK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AF169" s="36"/>
      <c r="AG169" s="36"/>
      <c r="AH169" s="36"/>
      <c r="AI169" s="36"/>
      <c r="AJ169" s="36"/>
      <c r="AK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AF170" s="36"/>
      <c r="AG170" s="36"/>
      <c r="AH170" s="36"/>
      <c r="AI170" s="36"/>
      <c r="AJ170" s="36"/>
      <c r="AK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AF171" s="36"/>
      <c r="AG171" s="36"/>
      <c r="AH171" s="36"/>
      <c r="AI171" s="36"/>
      <c r="AJ171" s="36"/>
      <c r="AK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AF172" s="36"/>
      <c r="AG172" s="36"/>
      <c r="AH172" s="36"/>
      <c r="AI172" s="36"/>
      <c r="AJ172" s="36"/>
      <c r="AK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AF173" s="36"/>
      <c r="AG173" s="36"/>
      <c r="AH173" s="36"/>
      <c r="AI173" s="36"/>
      <c r="AJ173" s="36"/>
      <c r="AK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AF174" s="36"/>
      <c r="AG174" s="36"/>
      <c r="AH174" s="36"/>
      <c r="AI174" s="36"/>
      <c r="AJ174" s="36"/>
      <c r="AK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AF175" s="36"/>
      <c r="AG175" s="36"/>
      <c r="AH175" s="36"/>
      <c r="AI175" s="36"/>
      <c r="AJ175" s="36"/>
      <c r="AK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AF176" s="36"/>
      <c r="AG176" s="36"/>
      <c r="AH176" s="36"/>
      <c r="AI176" s="36"/>
      <c r="AJ176" s="36"/>
      <c r="AK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AF177" s="36"/>
      <c r="AG177" s="36"/>
      <c r="AH177" s="36"/>
      <c r="AI177" s="36"/>
      <c r="AJ177" s="36"/>
      <c r="AK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AF178" s="36"/>
      <c r="AG178" s="36"/>
      <c r="AH178" s="36"/>
      <c r="AI178" s="36"/>
      <c r="AJ178" s="36"/>
      <c r="AK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AF179" s="36"/>
      <c r="AG179" s="36"/>
      <c r="AH179" s="36"/>
      <c r="AI179" s="36"/>
      <c r="AJ179" s="36"/>
      <c r="AK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AF180" s="36"/>
      <c r="AG180" s="36"/>
      <c r="AH180" s="36"/>
      <c r="AI180" s="36"/>
      <c r="AJ180" s="36"/>
      <c r="AK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AF181" s="36"/>
      <c r="AG181" s="36"/>
      <c r="AH181" s="36"/>
      <c r="AI181" s="36"/>
      <c r="AJ181" s="36"/>
      <c r="AK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AF182" s="36"/>
      <c r="AG182" s="36"/>
      <c r="AH182" s="36"/>
      <c r="AI182" s="36"/>
      <c r="AJ182" s="36"/>
      <c r="AK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AF183" s="36"/>
      <c r="AG183" s="36"/>
      <c r="AH183" s="36"/>
      <c r="AI183" s="36"/>
      <c r="AJ183" s="36"/>
      <c r="AK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AF184" s="36"/>
      <c r="AG184" s="36"/>
      <c r="AH184" s="36"/>
      <c r="AI184" s="36"/>
      <c r="AJ184" s="36"/>
      <c r="AK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AF185" s="36"/>
      <c r="AG185" s="36"/>
      <c r="AH185" s="36"/>
      <c r="AI185" s="36"/>
      <c r="AJ185" s="36"/>
      <c r="AK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AF186" s="36"/>
      <c r="AG186" s="36"/>
      <c r="AH186" s="36"/>
      <c r="AI186" s="36"/>
      <c r="AJ186" s="36"/>
      <c r="AK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AF187" s="36"/>
      <c r="AG187" s="36"/>
      <c r="AH187" s="36"/>
      <c r="AI187" s="36"/>
      <c r="AJ187" s="36"/>
      <c r="AK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AF188" s="36"/>
      <c r="AG188" s="36"/>
      <c r="AH188" s="36"/>
      <c r="AI188" s="36"/>
      <c r="AJ188" s="36"/>
      <c r="AK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AF189" s="36"/>
      <c r="AG189" s="36"/>
      <c r="AH189" s="36"/>
      <c r="AI189" s="36"/>
      <c r="AJ189" s="36"/>
      <c r="AK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AF190" s="36"/>
      <c r="AG190" s="36"/>
      <c r="AH190" s="36"/>
      <c r="AI190" s="36"/>
      <c r="AJ190" s="36"/>
      <c r="AK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AF191" s="36"/>
      <c r="AG191" s="36"/>
      <c r="AH191" s="36"/>
      <c r="AI191" s="36"/>
      <c r="AJ191" s="36"/>
      <c r="AK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AF192" s="36"/>
      <c r="AG192" s="36"/>
      <c r="AH192" s="36"/>
      <c r="AI192" s="36"/>
      <c r="AJ192" s="36"/>
      <c r="AK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AF193" s="36"/>
      <c r="AG193" s="36"/>
      <c r="AH193" s="36"/>
      <c r="AI193" s="36"/>
      <c r="AJ193" s="36"/>
      <c r="AK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AF194" s="36"/>
      <c r="AG194" s="36"/>
      <c r="AH194" s="36"/>
      <c r="AI194" s="36"/>
      <c r="AJ194" s="36"/>
      <c r="AK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AF195" s="36"/>
      <c r="AG195" s="36"/>
      <c r="AH195" s="36"/>
      <c r="AI195" s="36"/>
      <c r="AJ195" s="36"/>
      <c r="AK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AF196" s="36"/>
      <c r="AG196" s="36"/>
      <c r="AH196" s="36"/>
      <c r="AI196" s="36"/>
      <c r="AJ196" s="36"/>
      <c r="AK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AF197" s="36"/>
      <c r="AG197" s="36"/>
      <c r="AH197" s="36"/>
      <c r="AI197" s="36"/>
      <c r="AJ197" s="36"/>
      <c r="AK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AF198" s="36"/>
      <c r="AG198" s="36"/>
      <c r="AH198" s="36"/>
      <c r="AI198" s="36"/>
      <c r="AJ198" s="36"/>
      <c r="AK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AF199" s="36"/>
      <c r="AG199" s="36"/>
      <c r="AH199" s="36"/>
      <c r="AI199" s="36"/>
      <c r="AJ199" s="36"/>
      <c r="AK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AF200" s="36"/>
      <c r="AG200" s="36"/>
      <c r="AH200" s="36"/>
      <c r="AI200" s="36"/>
      <c r="AJ200" s="36"/>
      <c r="AK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AF201" s="36"/>
      <c r="AG201" s="36"/>
      <c r="AH201" s="36"/>
      <c r="AI201" s="36"/>
      <c r="AJ201" s="36"/>
      <c r="AK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AF202" s="36"/>
      <c r="AG202" s="36"/>
      <c r="AH202" s="36"/>
      <c r="AI202" s="36"/>
      <c r="AJ202" s="36"/>
      <c r="AK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AF203" s="36"/>
      <c r="AG203" s="36"/>
      <c r="AH203" s="36"/>
      <c r="AI203" s="36"/>
      <c r="AJ203" s="36"/>
      <c r="AK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AF204" s="36"/>
      <c r="AG204" s="36"/>
      <c r="AH204" s="36"/>
      <c r="AI204" s="36"/>
      <c r="AJ204" s="36"/>
      <c r="AK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AF205" s="36"/>
      <c r="AG205" s="36"/>
      <c r="AH205" s="36"/>
      <c r="AI205" s="36"/>
      <c r="AJ205" s="36"/>
      <c r="AK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AF206" s="36"/>
      <c r="AG206" s="36"/>
      <c r="AH206" s="36"/>
      <c r="AI206" s="36"/>
      <c r="AJ206" s="36"/>
      <c r="AK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AF207" s="36"/>
      <c r="AG207" s="36"/>
      <c r="AH207" s="36"/>
      <c r="AI207" s="36"/>
      <c r="AJ207" s="36"/>
      <c r="AK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AF208" s="36"/>
      <c r="AG208" s="36"/>
      <c r="AH208" s="36"/>
      <c r="AI208" s="36"/>
      <c r="AJ208" s="36"/>
      <c r="AK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AF209" s="36"/>
      <c r="AG209" s="36"/>
      <c r="AH209" s="36"/>
      <c r="AI209" s="36"/>
      <c r="AJ209" s="36"/>
      <c r="AK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AF210" s="36"/>
      <c r="AG210" s="36"/>
      <c r="AH210" s="36"/>
      <c r="AI210" s="36"/>
      <c r="AJ210" s="36"/>
      <c r="AK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AF211" s="36"/>
      <c r="AG211" s="36"/>
      <c r="AH211" s="36"/>
      <c r="AI211" s="36"/>
      <c r="AJ211" s="36"/>
      <c r="AK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AF212" s="36"/>
      <c r="AG212" s="36"/>
      <c r="AH212" s="36"/>
      <c r="AI212" s="36"/>
      <c r="AJ212" s="36"/>
      <c r="AK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AF213" s="36"/>
      <c r="AG213" s="36"/>
      <c r="AH213" s="36"/>
      <c r="AI213" s="36"/>
      <c r="AJ213" s="36"/>
      <c r="AK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AF214" s="36"/>
      <c r="AG214" s="36"/>
      <c r="AH214" s="36"/>
      <c r="AI214" s="36"/>
      <c r="AJ214" s="36"/>
      <c r="AK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AF215" s="36"/>
      <c r="AG215" s="36"/>
      <c r="AH215" s="36"/>
      <c r="AI215" s="36"/>
      <c r="AJ215" s="36"/>
      <c r="AK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AF216" s="36"/>
      <c r="AG216" s="36"/>
      <c r="AH216" s="36"/>
      <c r="AI216" s="36"/>
      <c r="AJ216" s="36"/>
      <c r="AK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AF217" s="36"/>
      <c r="AG217" s="36"/>
      <c r="AH217" s="36"/>
      <c r="AI217" s="36"/>
      <c r="AJ217" s="36"/>
      <c r="AK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AF218" s="36"/>
      <c r="AG218" s="36"/>
      <c r="AH218" s="36"/>
      <c r="AI218" s="36"/>
      <c r="AJ218" s="36"/>
      <c r="AK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AF219" s="36"/>
      <c r="AG219" s="36"/>
      <c r="AH219" s="36"/>
      <c r="AI219" s="36"/>
      <c r="AJ219" s="36"/>
      <c r="AK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AF220" s="36"/>
      <c r="AG220" s="36"/>
      <c r="AH220" s="36"/>
      <c r="AI220" s="36"/>
      <c r="AJ220" s="36"/>
      <c r="AK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AF221" s="36"/>
      <c r="AG221" s="36"/>
      <c r="AH221" s="36"/>
      <c r="AI221" s="36"/>
      <c r="AJ221" s="36"/>
      <c r="AK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AF222" s="36"/>
      <c r="AG222" s="36"/>
      <c r="AH222" s="36"/>
      <c r="AI222" s="36"/>
      <c r="AJ222" s="36"/>
      <c r="AK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AF223" s="36"/>
      <c r="AG223" s="36"/>
      <c r="AH223" s="36"/>
      <c r="AI223" s="36"/>
      <c r="AJ223" s="36"/>
      <c r="AK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AF224" s="36"/>
      <c r="AG224" s="36"/>
      <c r="AH224" s="36"/>
      <c r="AI224" s="36"/>
      <c r="AJ224" s="36"/>
      <c r="AK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AF225" s="36"/>
      <c r="AG225" s="36"/>
      <c r="AH225" s="36"/>
      <c r="AI225" s="36"/>
      <c r="AJ225" s="36"/>
      <c r="AK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AF226" s="36"/>
      <c r="AG226" s="36"/>
      <c r="AH226" s="36"/>
      <c r="AI226" s="36"/>
      <c r="AJ226" s="36"/>
      <c r="AK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AF227" s="36"/>
      <c r="AG227" s="36"/>
      <c r="AH227" s="36"/>
      <c r="AI227" s="36"/>
      <c r="AJ227" s="36"/>
      <c r="AK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AF228" s="36"/>
      <c r="AG228" s="36"/>
      <c r="AH228" s="36"/>
      <c r="AI228" s="36"/>
      <c r="AJ228" s="36"/>
      <c r="AK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AF229" s="36"/>
      <c r="AG229" s="36"/>
      <c r="AH229" s="36"/>
      <c r="AI229" s="36"/>
      <c r="AJ229" s="36"/>
      <c r="AK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AF230" s="36"/>
      <c r="AG230" s="36"/>
      <c r="AH230" s="36"/>
      <c r="AI230" s="36"/>
      <c r="AJ230" s="36"/>
      <c r="AK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AF231" s="36"/>
      <c r="AG231" s="36"/>
      <c r="AH231" s="36"/>
      <c r="AI231" s="36"/>
      <c r="AJ231" s="36"/>
      <c r="AK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AF232" s="36"/>
      <c r="AG232" s="36"/>
      <c r="AH232" s="36"/>
      <c r="AI232" s="36"/>
      <c r="AJ232" s="36"/>
      <c r="AK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AF233" s="36"/>
      <c r="AG233" s="36"/>
      <c r="AH233" s="36"/>
      <c r="AI233" s="36"/>
      <c r="AJ233" s="36"/>
      <c r="AK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AF234" s="36"/>
      <c r="AG234" s="36"/>
      <c r="AH234" s="36"/>
      <c r="AI234" s="36"/>
      <c r="AJ234" s="36"/>
      <c r="AK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AF235" s="36"/>
      <c r="AG235" s="36"/>
      <c r="AH235" s="36"/>
      <c r="AI235" s="36"/>
      <c r="AJ235" s="36"/>
      <c r="AK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AF236" s="36"/>
      <c r="AG236" s="36"/>
      <c r="AH236" s="36"/>
      <c r="AI236" s="36"/>
      <c r="AJ236" s="36"/>
      <c r="AK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AF237" s="36"/>
      <c r="AG237" s="36"/>
      <c r="AH237" s="36"/>
      <c r="AI237" s="36"/>
      <c r="AJ237" s="36"/>
      <c r="AK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AF238" s="36"/>
      <c r="AG238" s="36"/>
      <c r="AH238" s="36"/>
      <c r="AI238" s="36"/>
      <c r="AJ238" s="36"/>
      <c r="AK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AF239" s="36"/>
      <c r="AG239" s="36"/>
      <c r="AH239" s="36"/>
      <c r="AI239" s="36"/>
      <c r="AJ239" s="36"/>
      <c r="AK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AF240" s="36"/>
      <c r="AG240" s="36"/>
      <c r="AH240" s="36"/>
      <c r="AI240" s="36"/>
      <c r="AJ240" s="36"/>
      <c r="AK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AF241" s="36"/>
      <c r="AG241" s="36"/>
      <c r="AH241" s="36"/>
      <c r="AI241" s="36"/>
      <c r="AJ241" s="36"/>
      <c r="AK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AF242" s="36"/>
      <c r="AG242" s="36"/>
      <c r="AH242" s="36"/>
      <c r="AI242" s="36"/>
      <c r="AJ242" s="36"/>
      <c r="AK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AF243" s="36"/>
      <c r="AG243" s="36"/>
      <c r="AH243" s="36"/>
      <c r="AI243" s="36"/>
      <c r="AJ243" s="36"/>
      <c r="AK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AF244" s="36"/>
      <c r="AG244" s="36"/>
      <c r="AH244" s="36"/>
      <c r="AI244" s="36"/>
      <c r="AJ244" s="36"/>
      <c r="AK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AF245" s="36"/>
      <c r="AG245" s="36"/>
      <c r="AH245" s="36"/>
      <c r="AI245" s="36"/>
      <c r="AJ245" s="36"/>
      <c r="AK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AF246" s="36"/>
      <c r="AG246" s="36"/>
      <c r="AH246" s="36"/>
      <c r="AI246" s="36"/>
      <c r="AJ246" s="36"/>
      <c r="AK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AF247" s="36"/>
      <c r="AG247" s="36"/>
      <c r="AH247" s="36"/>
      <c r="AI247" s="36"/>
      <c r="AJ247" s="36"/>
      <c r="AK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AF248" s="36"/>
      <c r="AG248" s="36"/>
      <c r="AH248" s="36"/>
      <c r="AI248" s="36"/>
      <c r="AJ248" s="36"/>
      <c r="AK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AF249" s="36"/>
      <c r="AG249" s="36"/>
      <c r="AH249" s="36"/>
      <c r="AI249" s="36"/>
      <c r="AJ249" s="36"/>
      <c r="AK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AF250" s="36"/>
      <c r="AG250" s="36"/>
      <c r="AH250" s="36"/>
      <c r="AI250" s="36"/>
      <c r="AJ250" s="36"/>
      <c r="AK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AF251" s="36"/>
      <c r="AG251" s="36"/>
      <c r="AH251" s="36"/>
      <c r="AI251" s="36"/>
      <c r="AJ251" s="36"/>
      <c r="AK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AF252" s="36"/>
      <c r="AG252" s="36"/>
      <c r="AH252" s="36"/>
      <c r="AI252" s="36"/>
      <c r="AJ252" s="36"/>
      <c r="AK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AF253" s="36"/>
      <c r="AG253" s="36"/>
      <c r="AH253" s="36"/>
      <c r="AI253" s="36"/>
      <c r="AJ253" s="36"/>
      <c r="AK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AF254" s="36"/>
      <c r="AG254" s="36"/>
      <c r="AH254" s="36"/>
      <c r="AI254" s="36"/>
      <c r="AJ254" s="36"/>
      <c r="AK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AF255" s="36"/>
      <c r="AG255" s="36"/>
      <c r="AH255" s="36"/>
      <c r="AI255" s="36"/>
      <c r="AJ255" s="36"/>
      <c r="AK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AF256" s="36"/>
      <c r="AG256" s="36"/>
      <c r="AH256" s="36"/>
      <c r="AI256" s="36"/>
      <c r="AJ256" s="36"/>
      <c r="AK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AF257" s="36"/>
      <c r="AG257" s="36"/>
      <c r="AH257" s="36"/>
      <c r="AI257" s="36"/>
      <c r="AJ257" s="36"/>
      <c r="AK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AF258" s="36"/>
      <c r="AG258" s="36"/>
      <c r="AH258" s="36"/>
      <c r="AI258" s="36"/>
      <c r="AJ258" s="36"/>
      <c r="AK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AF259" s="36"/>
      <c r="AG259" s="36"/>
      <c r="AH259" s="36"/>
      <c r="AI259" s="36"/>
      <c r="AJ259" s="36"/>
      <c r="AK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AF260" s="36"/>
      <c r="AG260" s="36"/>
      <c r="AH260" s="36"/>
      <c r="AI260" s="36"/>
      <c r="AJ260" s="36"/>
      <c r="AK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AF261" s="36"/>
      <c r="AG261" s="36"/>
      <c r="AH261" s="36"/>
      <c r="AI261" s="36"/>
      <c r="AJ261" s="36"/>
      <c r="AK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AF262" s="36"/>
      <c r="AG262" s="36"/>
      <c r="AH262" s="36"/>
      <c r="AI262" s="36"/>
      <c r="AJ262" s="36"/>
      <c r="AK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AF263" s="36"/>
      <c r="AG263" s="36"/>
      <c r="AH263" s="36"/>
      <c r="AI263" s="36"/>
      <c r="AJ263" s="36"/>
      <c r="AK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AF264" s="36"/>
      <c r="AG264" s="36"/>
      <c r="AH264" s="36"/>
      <c r="AI264" s="36"/>
      <c r="AJ264" s="36"/>
      <c r="AK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AF265" s="36"/>
      <c r="AG265" s="36"/>
      <c r="AH265" s="36"/>
      <c r="AI265" s="36"/>
      <c r="AJ265" s="36"/>
      <c r="AK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AF266" s="36"/>
      <c r="AG266" s="36"/>
      <c r="AH266" s="36"/>
      <c r="AI266" s="36"/>
      <c r="AJ266" s="36"/>
      <c r="AK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AF267" s="36"/>
      <c r="AG267" s="36"/>
      <c r="AH267" s="36"/>
      <c r="AI267" s="36"/>
      <c r="AJ267" s="36"/>
      <c r="AK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AF268" s="36"/>
      <c r="AG268" s="36"/>
      <c r="AH268" s="36"/>
      <c r="AI268" s="36"/>
      <c r="AJ268" s="36"/>
      <c r="AK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AF269" s="36"/>
      <c r="AG269" s="36"/>
      <c r="AH269" s="36"/>
      <c r="AI269" s="36"/>
      <c r="AJ269" s="36"/>
      <c r="AK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AF270" s="36"/>
      <c r="AG270" s="36"/>
      <c r="AH270" s="36"/>
      <c r="AI270" s="36"/>
      <c r="AJ270" s="36"/>
      <c r="AK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AF271" s="36"/>
      <c r="AG271" s="36"/>
      <c r="AH271" s="36"/>
      <c r="AI271" s="36"/>
      <c r="AJ271" s="36"/>
      <c r="AK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AF272" s="36"/>
      <c r="AG272" s="36"/>
      <c r="AH272" s="36"/>
      <c r="AI272" s="36"/>
      <c r="AJ272" s="36"/>
      <c r="AK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AF273" s="36"/>
      <c r="AG273" s="36"/>
      <c r="AH273" s="36"/>
      <c r="AI273" s="36"/>
      <c r="AJ273" s="36"/>
      <c r="AK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AF274" s="36"/>
      <c r="AG274" s="36"/>
      <c r="AH274" s="36"/>
      <c r="AI274" s="36"/>
      <c r="AJ274" s="36"/>
      <c r="AK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AF275" s="36"/>
      <c r="AG275" s="36"/>
      <c r="AH275" s="36"/>
      <c r="AI275" s="36"/>
      <c r="AJ275" s="36"/>
      <c r="AK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AF276" s="36"/>
      <c r="AG276" s="36"/>
      <c r="AH276" s="36"/>
      <c r="AI276" s="36"/>
      <c r="AJ276" s="36"/>
      <c r="AK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AF277" s="36"/>
      <c r="AG277" s="36"/>
      <c r="AH277" s="36"/>
      <c r="AI277" s="36"/>
      <c r="AJ277" s="36"/>
      <c r="AK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AF278" s="36"/>
      <c r="AG278" s="36"/>
      <c r="AH278" s="36"/>
      <c r="AI278" s="36"/>
      <c r="AJ278" s="36"/>
      <c r="AK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AF279" s="36"/>
      <c r="AG279" s="36"/>
      <c r="AH279" s="36"/>
      <c r="AI279" s="36"/>
      <c r="AJ279" s="36"/>
      <c r="AK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AF280" s="36"/>
      <c r="AG280" s="36"/>
      <c r="AH280" s="36"/>
      <c r="AI280" s="36"/>
      <c r="AJ280" s="36"/>
      <c r="AK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AF281" s="36"/>
      <c r="AG281" s="36"/>
      <c r="AH281" s="36"/>
      <c r="AI281" s="36"/>
      <c r="AJ281" s="36"/>
      <c r="AK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AF282" s="36"/>
      <c r="AG282" s="36"/>
      <c r="AH282" s="36"/>
      <c r="AI282" s="36"/>
      <c r="AJ282" s="36"/>
      <c r="AK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AF283" s="36"/>
      <c r="AG283" s="36"/>
      <c r="AH283" s="36"/>
      <c r="AI283" s="36"/>
      <c r="AJ283" s="36"/>
      <c r="AK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AF284" s="36"/>
      <c r="AG284" s="36"/>
      <c r="AH284" s="36"/>
      <c r="AI284" s="36"/>
      <c r="AJ284" s="36"/>
      <c r="AK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AF285" s="36"/>
      <c r="AG285" s="36"/>
      <c r="AH285" s="36"/>
      <c r="AI285" s="36"/>
      <c r="AJ285" s="36"/>
      <c r="AK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AF286" s="36"/>
      <c r="AG286" s="36"/>
      <c r="AH286" s="36"/>
      <c r="AI286" s="36"/>
      <c r="AJ286" s="36"/>
      <c r="AK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AF287" s="36"/>
      <c r="AG287" s="36"/>
      <c r="AH287" s="36"/>
      <c r="AI287" s="36"/>
      <c r="AJ287" s="36"/>
      <c r="AK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AF288" s="36"/>
      <c r="AG288" s="36"/>
      <c r="AH288" s="36"/>
      <c r="AI288" s="36"/>
      <c r="AJ288" s="36"/>
      <c r="AK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AF289" s="36"/>
      <c r="AG289" s="36"/>
      <c r="AH289" s="36"/>
      <c r="AI289" s="36"/>
      <c r="AJ289" s="36"/>
      <c r="AK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AF290" s="36"/>
      <c r="AG290" s="36"/>
      <c r="AH290" s="36"/>
      <c r="AI290" s="36"/>
      <c r="AJ290" s="36"/>
      <c r="AK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AF291" s="36"/>
      <c r="AG291" s="36"/>
      <c r="AH291" s="36"/>
      <c r="AI291" s="36"/>
      <c r="AJ291" s="36"/>
      <c r="AK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AF292" s="36"/>
      <c r="AG292" s="36"/>
      <c r="AH292" s="36"/>
      <c r="AI292" s="36"/>
      <c r="AJ292" s="36"/>
      <c r="AK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AF293" s="36"/>
      <c r="AG293" s="36"/>
      <c r="AH293" s="36"/>
      <c r="AI293" s="36"/>
      <c r="AJ293" s="36"/>
      <c r="AK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AF294" s="36"/>
      <c r="AG294" s="36"/>
      <c r="AH294" s="36"/>
      <c r="AI294" s="36"/>
      <c r="AJ294" s="36"/>
      <c r="AK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AF295" s="36"/>
      <c r="AG295" s="36"/>
      <c r="AH295" s="36"/>
      <c r="AI295" s="36"/>
      <c r="AJ295" s="36"/>
      <c r="AK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AF296" s="36"/>
      <c r="AG296" s="36"/>
      <c r="AH296" s="36"/>
      <c r="AI296" s="36"/>
      <c r="AJ296" s="36"/>
      <c r="AK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AF297" s="36"/>
      <c r="AG297" s="36"/>
      <c r="AH297" s="36"/>
      <c r="AI297" s="36"/>
      <c r="AJ297" s="36"/>
      <c r="AK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AF298" s="36"/>
      <c r="AG298" s="36"/>
      <c r="AH298" s="36"/>
      <c r="AI298" s="36"/>
      <c r="AJ298" s="36"/>
      <c r="AK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AF299" s="36"/>
      <c r="AG299" s="36"/>
      <c r="AH299" s="36"/>
      <c r="AI299" s="36"/>
      <c r="AJ299" s="36"/>
      <c r="AK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AF300" s="36"/>
      <c r="AG300" s="36"/>
      <c r="AH300" s="36"/>
      <c r="AI300" s="36"/>
      <c r="AJ300" s="36"/>
      <c r="AK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AF301" s="36"/>
      <c r="AG301" s="36"/>
      <c r="AH301" s="36"/>
      <c r="AI301" s="36"/>
      <c r="AJ301" s="36"/>
      <c r="AK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AF302" s="36"/>
      <c r="AG302" s="36"/>
      <c r="AH302" s="36"/>
      <c r="AI302" s="36"/>
      <c r="AJ302" s="36"/>
      <c r="AK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AF303" s="36"/>
      <c r="AG303" s="36"/>
      <c r="AH303" s="36"/>
      <c r="AI303" s="36"/>
      <c r="AJ303" s="36"/>
      <c r="AK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AF304" s="36"/>
      <c r="AG304" s="36"/>
      <c r="AH304" s="36"/>
      <c r="AI304" s="36"/>
      <c r="AJ304" s="36"/>
      <c r="AK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AF305" s="36"/>
      <c r="AG305" s="36"/>
      <c r="AH305" s="36"/>
      <c r="AI305" s="36"/>
      <c r="AJ305" s="36"/>
      <c r="AK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AF306" s="36"/>
      <c r="AG306" s="36"/>
      <c r="AH306" s="36"/>
      <c r="AI306" s="36"/>
      <c r="AJ306" s="36"/>
      <c r="AK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AF307" s="36"/>
      <c r="AG307" s="36"/>
      <c r="AH307" s="36"/>
      <c r="AI307" s="36"/>
      <c r="AJ307" s="36"/>
      <c r="AK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AF308" s="36"/>
      <c r="AG308" s="36"/>
      <c r="AH308" s="36"/>
      <c r="AI308" s="36"/>
      <c r="AJ308" s="36"/>
      <c r="AK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AF309" s="36"/>
      <c r="AG309" s="36"/>
      <c r="AH309" s="36"/>
      <c r="AI309" s="36"/>
      <c r="AJ309" s="36"/>
      <c r="AK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AF310" s="36"/>
      <c r="AG310" s="36"/>
      <c r="AH310" s="36"/>
      <c r="AI310" s="36"/>
      <c r="AJ310" s="36"/>
      <c r="AK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AF311" s="36"/>
      <c r="AG311" s="36"/>
      <c r="AH311" s="36"/>
      <c r="AI311" s="36"/>
      <c r="AJ311" s="36"/>
      <c r="AK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AF312" s="36"/>
      <c r="AG312" s="36"/>
      <c r="AH312" s="36"/>
      <c r="AI312" s="36"/>
      <c r="AJ312" s="36"/>
      <c r="AK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AF313" s="36"/>
      <c r="AG313" s="36"/>
      <c r="AH313" s="36"/>
      <c r="AI313" s="36"/>
      <c r="AJ313" s="36"/>
      <c r="AK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AF314" s="36"/>
      <c r="AG314" s="36"/>
      <c r="AH314" s="36"/>
      <c r="AI314" s="36"/>
      <c r="AJ314" s="36"/>
      <c r="AK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AF315" s="36"/>
      <c r="AG315" s="36"/>
      <c r="AH315" s="36"/>
      <c r="AI315" s="36"/>
      <c r="AJ315" s="36"/>
      <c r="AK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AF316" s="36"/>
      <c r="AG316" s="36"/>
      <c r="AH316" s="36"/>
      <c r="AI316" s="36"/>
      <c r="AJ316" s="36"/>
      <c r="AK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AF317" s="36"/>
      <c r="AG317" s="36"/>
      <c r="AH317" s="36"/>
      <c r="AI317" s="36"/>
      <c r="AJ317" s="36"/>
      <c r="AK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AF318" s="36"/>
      <c r="AG318" s="36"/>
      <c r="AH318" s="36"/>
      <c r="AI318" s="36"/>
      <c r="AJ318" s="36"/>
      <c r="AK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AF319" s="36"/>
      <c r="AG319" s="36"/>
      <c r="AH319" s="36"/>
      <c r="AI319" s="36"/>
      <c r="AJ319" s="36"/>
      <c r="AK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AF320" s="36"/>
      <c r="AG320" s="36"/>
      <c r="AH320" s="36"/>
      <c r="AI320" s="36"/>
      <c r="AJ320" s="36"/>
      <c r="AK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AF321" s="36"/>
      <c r="AG321" s="36"/>
      <c r="AH321" s="36"/>
      <c r="AI321" s="36"/>
      <c r="AJ321" s="36"/>
      <c r="AK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AF322" s="36"/>
      <c r="AG322" s="36"/>
      <c r="AH322" s="36"/>
      <c r="AI322" s="36"/>
      <c r="AJ322" s="36"/>
      <c r="AK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AF323" s="36"/>
      <c r="AG323" s="36"/>
      <c r="AH323" s="36"/>
      <c r="AI323" s="36"/>
      <c r="AJ323" s="36"/>
      <c r="AK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AF324" s="36"/>
      <c r="AG324" s="36"/>
      <c r="AH324" s="36"/>
      <c r="AI324" s="36"/>
      <c r="AJ324" s="36"/>
      <c r="AK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AF325" s="36"/>
      <c r="AG325" s="36"/>
      <c r="AH325" s="36"/>
      <c r="AI325" s="36"/>
      <c r="AJ325" s="36"/>
      <c r="AK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AF326" s="36"/>
      <c r="AG326" s="36"/>
      <c r="AH326" s="36"/>
      <c r="AI326" s="36"/>
      <c r="AJ326" s="36"/>
      <c r="AK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AF327" s="36"/>
      <c r="AG327" s="36"/>
      <c r="AH327" s="36"/>
      <c r="AI327" s="36"/>
      <c r="AJ327" s="36"/>
      <c r="AK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AF328" s="36"/>
      <c r="AG328" s="36"/>
      <c r="AH328" s="36"/>
      <c r="AI328" s="36"/>
      <c r="AJ328" s="36"/>
      <c r="AK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AF329" s="36"/>
      <c r="AG329" s="36"/>
      <c r="AH329" s="36"/>
      <c r="AI329" s="36"/>
      <c r="AJ329" s="36"/>
      <c r="AK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AF330" s="36"/>
      <c r="AG330" s="36"/>
      <c r="AH330" s="36"/>
      <c r="AI330" s="36"/>
      <c r="AJ330" s="36"/>
      <c r="AK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AF331" s="36"/>
      <c r="AG331" s="36"/>
      <c r="AH331" s="36"/>
      <c r="AI331" s="36"/>
      <c r="AJ331" s="36"/>
      <c r="AK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AF332" s="36"/>
      <c r="AG332" s="36"/>
      <c r="AH332" s="36"/>
      <c r="AI332" s="36"/>
      <c r="AJ332" s="36"/>
      <c r="AK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AF333" s="36"/>
      <c r="AG333" s="36"/>
      <c r="AH333" s="36"/>
      <c r="AI333" s="36"/>
      <c r="AJ333" s="36"/>
      <c r="AK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AF334" s="36"/>
      <c r="AG334" s="36"/>
      <c r="AH334" s="36"/>
      <c r="AI334" s="36"/>
      <c r="AJ334" s="36"/>
      <c r="AK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AF335" s="36"/>
      <c r="AG335" s="36"/>
      <c r="AH335" s="36"/>
      <c r="AI335" s="36"/>
      <c r="AJ335" s="36"/>
      <c r="AK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AF336" s="36"/>
      <c r="AG336" s="36"/>
      <c r="AH336" s="36"/>
      <c r="AI336" s="36"/>
      <c r="AJ336" s="36"/>
      <c r="AK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AF337" s="36"/>
      <c r="AG337" s="36"/>
      <c r="AH337" s="36"/>
      <c r="AI337" s="36"/>
      <c r="AJ337" s="36"/>
      <c r="AK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AF338" s="36"/>
      <c r="AG338" s="36"/>
      <c r="AH338" s="36"/>
      <c r="AI338" s="36"/>
      <c r="AJ338" s="36"/>
      <c r="AK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AF339" s="36"/>
      <c r="AG339" s="36"/>
      <c r="AH339" s="36"/>
      <c r="AI339" s="36"/>
      <c r="AJ339" s="36"/>
      <c r="AK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AF340" s="36"/>
      <c r="AG340" s="36"/>
      <c r="AH340" s="36"/>
      <c r="AI340" s="36"/>
      <c r="AJ340" s="36"/>
      <c r="AK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AF341" s="36"/>
      <c r="AG341" s="36"/>
      <c r="AH341" s="36"/>
      <c r="AI341" s="36"/>
      <c r="AJ341" s="36"/>
      <c r="AK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AF342" s="36"/>
      <c r="AG342" s="36"/>
      <c r="AH342" s="36"/>
      <c r="AI342" s="36"/>
      <c r="AJ342" s="36"/>
      <c r="AK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AF343" s="36"/>
      <c r="AG343" s="36"/>
      <c r="AH343" s="36"/>
      <c r="AI343" s="36"/>
      <c r="AJ343" s="36"/>
      <c r="AK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AF344" s="36"/>
      <c r="AG344" s="36"/>
      <c r="AH344" s="36"/>
      <c r="AI344" s="36"/>
      <c r="AJ344" s="36"/>
      <c r="AK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AF345" s="36"/>
      <c r="AG345" s="36"/>
      <c r="AH345" s="36"/>
      <c r="AI345" s="36"/>
      <c r="AJ345" s="36"/>
      <c r="AK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AF346" s="36"/>
      <c r="AG346" s="36"/>
      <c r="AH346" s="36"/>
      <c r="AI346" s="36"/>
      <c r="AJ346" s="36"/>
      <c r="AK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AF347" s="36"/>
      <c r="AG347" s="36"/>
      <c r="AH347" s="36"/>
      <c r="AI347" s="36"/>
      <c r="AJ347" s="36"/>
      <c r="AK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AF348" s="36"/>
      <c r="AG348" s="36"/>
      <c r="AH348" s="36"/>
      <c r="AI348" s="36"/>
      <c r="AJ348" s="36"/>
      <c r="AK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AF349" s="36"/>
      <c r="AG349" s="36"/>
      <c r="AH349" s="36"/>
      <c r="AI349" s="36"/>
      <c r="AJ349" s="36"/>
      <c r="AK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AF350" s="36"/>
      <c r="AG350" s="36"/>
      <c r="AH350" s="36"/>
      <c r="AI350" s="36"/>
      <c r="AJ350" s="36"/>
      <c r="AK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AF351" s="36"/>
      <c r="AG351" s="36"/>
      <c r="AH351" s="36"/>
      <c r="AI351" s="36"/>
      <c r="AJ351" s="36"/>
      <c r="AK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AF352" s="36"/>
      <c r="AG352" s="36"/>
      <c r="AH352" s="36"/>
      <c r="AI352" s="36"/>
      <c r="AJ352" s="36"/>
      <c r="AK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AF353" s="36"/>
      <c r="AG353" s="36"/>
      <c r="AH353" s="36"/>
      <c r="AI353" s="36"/>
      <c r="AJ353" s="36"/>
      <c r="AK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AF354" s="36"/>
      <c r="AG354" s="36"/>
      <c r="AH354" s="36"/>
      <c r="AI354" s="36"/>
      <c r="AJ354" s="36"/>
      <c r="AK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AF355" s="36"/>
      <c r="AG355" s="36"/>
      <c r="AH355" s="36"/>
      <c r="AI355" s="36"/>
      <c r="AJ355" s="36"/>
      <c r="AK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AF356" s="36"/>
      <c r="AG356" s="36"/>
      <c r="AH356" s="36"/>
      <c r="AI356" s="36"/>
      <c r="AJ356" s="36"/>
      <c r="AK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AF357" s="36"/>
      <c r="AG357" s="36"/>
      <c r="AH357" s="36"/>
      <c r="AI357" s="36"/>
      <c r="AJ357" s="36"/>
      <c r="AK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AF358" s="36"/>
      <c r="AG358" s="36"/>
      <c r="AH358" s="36"/>
      <c r="AI358" s="36"/>
      <c r="AJ358" s="36"/>
      <c r="AK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AF359" s="36"/>
      <c r="AG359" s="36"/>
      <c r="AH359" s="36"/>
      <c r="AI359" s="36"/>
      <c r="AJ359" s="36"/>
      <c r="AK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AF360" s="36"/>
      <c r="AG360" s="36"/>
      <c r="AH360" s="36"/>
      <c r="AI360" s="36"/>
      <c r="AJ360" s="36"/>
      <c r="AK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AF361" s="36"/>
      <c r="AG361" s="36"/>
      <c r="AH361" s="36"/>
      <c r="AI361" s="36"/>
      <c r="AJ361" s="36"/>
      <c r="AK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AF362" s="36"/>
      <c r="AG362" s="36"/>
      <c r="AH362" s="36"/>
      <c r="AI362" s="36"/>
      <c r="AJ362" s="36"/>
      <c r="AK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AF363" s="36"/>
      <c r="AG363" s="36"/>
      <c r="AH363" s="36"/>
      <c r="AI363" s="36"/>
      <c r="AJ363" s="36"/>
      <c r="AK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AF364" s="36"/>
      <c r="AG364" s="36"/>
      <c r="AH364" s="36"/>
      <c r="AI364" s="36"/>
      <c r="AJ364" s="36"/>
      <c r="AK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AF365" s="36"/>
      <c r="AG365" s="36"/>
      <c r="AH365" s="36"/>
      <c r="AI365" s="36"/>
      <c r="AJ365" s="36"/>
      <c r="AK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AF366" s="36"/>
      <c r="AG366" s="36"/>
      <c r="AH366" s="36"/>
      <c r="AI366" s="36"/>
      <c r="AJ366" s="36"/>
      <c r="AK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AF367" s="36"/>
      <c r="AG367" s="36"/>
      <c r="AH367" s="36"/>
      <c r="AI367" s="36"/>
      <c r="AJ367" s="36"/>
      <c r="AK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AF368" s="36"/>
      <c r="AG368" s="36"/>
      <c r="AH368" s="36"/>
      <c r="AI368" s="36"/>
      <c r="AJ368" s="36"/>
      <c r="AK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AF369" s="36"/>
      <c r="AG369" s="36"/>
      <c r="AH369" s="36"/>
      <c r="AI369" s="36"/>
      <c r="AJ369" s="36"/>
      <c r="AK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AF370" s="36"/>
      <c r="AG370" s="36"/>
      <c r="AH370" s="36"/>
      <c r="AI370" s="36"/>
      <c r="AJ370" s="36"/>
      <c r="AK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AF371" s="36"/>
      <c r="AG371" s="36"/>
      <c r="AH371" s="36"/>
      <c r="AI371" s="36"/>
      <c r="AJ371" s="36"/>
      <c r="AK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AF372" s="36"/>
      <c r="AG372" s="36"/>
      <c r="AH372" s="36"/>
      <c r="AI372" s="36"/>
      <c r="AJ372" s="36"/>
      <c r="AK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AF373" s="36"/>
      <c r="AG373" s="36"/>
      <c r="AH373" s="36"/>
      <c r="AI373" s="36"/>
      <c r="AJ373" s="36"/>
      <c r="AK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AF374" s="36"/>
      <c r="AG374" s="36"/>
      <c r="AH374" s="36"/>
      <c r="AI374" s="36"/>
      <c r="AJ374" s="36"/>
      <c r="AK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AF375" s="36"/>
      <c r="AG375" s="36"/>
      <c r="AH375" s="36"/>
      <c r="AI375" s="36"/>
      <c r="AJ375" s="36"/>
      <c r="AK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AF376" s="36"/>
      <c r="AG376" s="36"/>
      <c r="AH376" s="36"/>
      <c r="AI376" s="36"/>
      <c r="AJ376" s="36"/>
      <c r="AK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AF377" s="36"/>
      <c r="AG377" s="36"/>
      <c r="AH377" s="36"/>
      <c r="AI377" s="36"/>
      <c r="AJ377" s="36"/>
      <c r="AK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AF378" s="36"/>
      <c r="AG378" s="36"/>
      <c r="AH378" s="36"/>
      <c r="AI378" s="36"/>
      <c r="AJ378" s="36"/>
      <c r="AK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AF379" s="36"/>
      <c r="AG379" s="36"/>
      <c r="AH379" s="36"/>
      <c r="AI379" s="36"/>
      <c r="AJ379" s="36"/>
      <c r="AK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AF380" s="36"/>
      <c r="AG380" s="36"/>
      <c r="AH380" s="36"/>
      <c r="AI380" s="36"/>
      <c r="AJ380" s="36"/>
      <c r="AK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AF381" s="36"/>
      <c r="AG381" s="36"/>
      <c r="AH381" s="36"/>
      <c r="AI381" s="36"/>
      <c r="AJ381" s="36"/>
      <c r="AK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AF382" s="36"/>
      <c r="AG382" s="36"/>
      <c r="AH382" s="36"/>
      <c r="AI382" s="36"/>
      <c r="AJ382" s="36"/>
      <c r="AK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AF383" s="36"/>
      <c r="AG383" s="36"/>
      <c r="AH383" s="36"/>
      <c r="AI383" s="36"/>
      <c r="AJ383" s="36"/>
      <c r="AK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AF384" s="36"/>
      <c r="AG384" s="36"/>
      <c r="AH384" s="36"/>
      <c r="AI384" s="36"/>
      <c r="AJ384" s="36"/>
      <c r="AK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AF385" s="36"/>
      <c r="AG385" s="36"/>
      <c r="AH385" s="36"/>
      <c r="AI385" s="36"/>
      <c r="AJ385" s="36"/>
      <c r="AK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AF386" s="36"/>
      <c r="AG386" s="36"/>
      <c r="AH386" s="36"/>
      <c r="AI386" s="36"/>
      <c r="AJ386" s="36"/>
      <c r="AK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AF387" s="36"/>
      <c r="AG387" s="36"/>
      <c r="AH387" s="36"/>
      <c r="AI387" s="36"/>
      <c r="AJ387" s="36"/>
      <c r="AK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AF388" s="36"/>
      <c r="AG388" s="36"/>
      <c r="AH388" s="36"/>
      <c r="AI388" s="36"/>
      <c r="AJ388" s="36"/>
      <c r="AK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AF389" s="36"/>
      <c r="AG389" s="36"/>
      <c r="AH389" s="36"/>
      <c r="AI389" s="36"/>
      <c r="AJ389" s="36"/>
      <c r="AK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AF390" s="36"/>
      <c r="AG390" s="36"/>
      <c r="AH390" s="36"/>
      <c r="AI390" s="36"/>
      <c r="AJ390" s="36"/>
      <c r="AK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AF391" s="36"/>
      <c r="AG391" s="36"/>
      <c r="AH391" s="36"/>
      <c r="AI391" s="36"/>
      <c r="AJ391" s="36"/>
      <c r="AK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AF392" s="36"/>
      <c r="AG392" s="36"/>
      <c r="AH392" s="36"/>
      <c r="AI392" s="36"/>
      <c r="AJ392" s="36"/>
      <c r="AK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AF393" s="36"/>
      <c r="AG393" s="36"/>
      <c r="AH393" s="36"/>
      <c r="AI393" s="36"/>
      <c r="AJ393" s="36"/>
      <c r="AK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AF394" s="36"/>
      <c r="AG394" s="36"/>
      <c r="AH394" s="36"/>
      <c r="AI394" s="36"/>
      <c r="AJ394" s="36"/>
      <c r="AK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AF395" s="36"/>
      <c r="AG395" s="36"/>
      <c r="AH395" s="36"/>
      <c r="AI395" s="36"/>
      <c r="AJ395" s="36"/>
      <c r="AK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AF396" s="36"/>
      <c r="AG396" s="36"/>
      <c r="AH396" s="36"/>
      <c r="AI396" s="36"/>
      <c r="AJ396" s="36"/>
      <c r="AK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AF397" s="36"/>
      <c r="AG397" s="36"/>
      <c r="AH397" s="36"/>
      <c r="AI397" s="36"/>
      <c r="AJ397" s="36"/>
      <c r="AK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AF398" s="36"/>
      <c r="AG398" s="36"/>
      <c r="AH398" s="36"/>
      <c r="AI398" s="36"/>
      <c r="AJ398" s="36"/>
      <c r="AK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AF399" s="36"/>
      <c r="AG399" s="36"/>
      <c r="AH399" s="36"/>
      <c r="AI399" s="36"/>
      <c r="AJ399" s="36"/>
      <c r="AK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AF400" s="36"/>
      <c r="AG400" s="36"/>
      <c r="AH400" s="36"/>
      <c r="AI400" s="36"/>
      <c r="AJ400" s="36"/>
      <c r="AK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AF401" s="36"/>
      <c r="AG401" s="36"/>
      <c r="AH401" s="36"/>
      <c r="AI401" s="36"/>
      <c r="AJ401" s="36"/>
      <c r="AK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AF402" s="36"/>
      <c r="AG402" s="36"/>
      <c r="AH402" s="36"/>
      <c r="AI402" s="36"/>
      <c r="AJ402" s="36"/>
      <c r="AK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AF403" s="36"/>
      <c r="AG403" s="36"/>
      <c r="AH403" s="36"/>
      <c r="AI403" s="36"/>
      <c r="AJ403" s="36"/>
      <c r="AK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AF404" s="36"/>
      <c r="AG404" s="36"/>
      <c r="AH404" s="36"/>
      <c r="AI404" s="36"/>
      <c r="AJ404" s="36"/>
      <c r="AK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AF405" s="36"/>
      <c r="AG405" s="36"/>
      <c r="AH405" s="36"/>
      <c r="AI405" s="36"/>
      <c r="AJ405" s="36"/>
      <c r="AK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AF406" s="36"/>
      <c r="AG406" s="36"/>
      <c r="AH406" s="36"/>
      <c r="AI406" s="36"/>
      <c r="AJ406" s="36"/>
      <c r="AK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AF407" s="36"/>
      <c r="AG407" s="36"/>
      <c r="AH407" s="36"/>
      <c r="AI407" s="36"/>
      <c r="AJ407" s="36"/>
      <c r="AK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AF408" s="36"/>
      <c r="AG408" s="36"/>
      <c r="AH408" s="36"/>
      <c r="AI408" s="36"/>
      <c r="AJ408" s="36"/>
      <c r="AK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AF409" s="36"/>
      <c r="AG409" s="36"/>
      <c r="AH409" s="36"/>
      <c r="AI409" s="36"/>
      <c r="AJ409" s="36"/>
      <c r="AK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AF410" s="36"/>
      <c r="AG410" s="36"/>
      <c r="AH410" s="36"/>
      <c r="AI410" s="36"/>
      <c r="AJ410" s="36"/>
      <c r="AK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AF411" s="36"/>
      <c r="AG411" s="36"/>
      <c r="AH411" s="36"/>
      <c r="AI411" s="36"/>
      <c r="AJ411" s="36"/>
      <c r="AK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AF412" s="36"/>
      <c r="AG412" s="36"/>
      <c r="AH412" s="36"/>
      <c r="AI412" s="36"/>
      <c r="AJ412" s="36"/>
      <c r="AK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AF413" s="36"/>
      <c r="AG413" s="36"/>
      <c r="AH413" s="36"/>
      <c r="AI413" s="36"/>
      <c r="AJ413" s="36"/>
      <c r="AK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AF414" s="36"/>
      <c r="AG414" s="36"/>
      <c r="AH414" s="36"/>
      <c r="AI414" s="36"/>
      <c r="AJ414" s="36"/>
      <c r="AK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AF415" s="36"/>
      <c r="AG415" s="36"/>
      <c r="AH415" s="36"/>
      <c r="AI415" s="36"/>
      <c r="AJ415" s="36"/>
      <c r="AK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AF416" s="36"/>
      <c r="AG416" s="36"/>
      <c r="AH416" s="36"/>
      <c r="AI416" s="36"/>
      <c r="AJ416" s="36"/>
      <c r="AK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AF417" s="36"/>
      <c r="AG417" s="36"/>
      <c r="AH417" s="36"/>
      <c r="AI417" s="36"/>
      <c r="AJ417" s="36"/>
      <c r="AK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AF418" s="36"/>
      <c r="AG418" s="36"/>
      <c r="AH418" s="36"/>
      <c r="AI418" s="36"/>
      <c r="AJ418" s="36"/>
      <c r="AK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AF419" s="36"/>
      <c r="AG419" s="36"/>
      <c r="AH419" s="36"/>
      <c r="AI419" s="36"/>
      <c r="AJ419" s="36"/>
      <c r="AK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AF420" s="36"/>
      <c r="AG420" s="36"/>
      <c r="AH420" s="36"/>
      <c r="AI420" s="36"/>
      <c r="AJ420" s="36"/>
      <c r="AK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AF421" s="36"/>
      <c r="AG421" s="36"/>
      <c r="AH421" s="36"/>
      <c r="AI421" s="36"/>
      <c r="AJ421" s="36"/>
      <c r="AK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AF422" s="36"/>
      <c r="AG422" s="36"/>
      <c r="AH422" s="36"/>
      <c r="AI422" s="36"/>
      <c r="AJ422" s="36"/>
      <c r="AK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AF423" s="36"/>
      <c r="AG423" s="36"/>
      <c r="AH423" s="36"/>
      <c r="AI423" s="36"/>
      <c r="AJ423" s="36"/>
      <c r="AK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AF424" s="36"/>
      <c r="AG424" s="36"/>
      <c r="AH424" s="36"/>
      <c r="AI424" s="36"/>
      <c r="AJ424" s="36"/>
      <c r="AK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AF425" s="36"/>
      <c r="AG425" s="36"/>
      <c r="AH425" s="36"/>
      <c r="AI425" s="36"/>
      <c r="AJ425" s="36"/>
      <c r="AK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AF426" s="36"/>
      <c r="AG426" s="36"/>
      <c r="AH426" s="36"/>
      <c r="AI426" s="36"/>
      <c r="AJ426" s="36"/>
      <c r="AK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AF427" s="36"/>
      <c r="AG427" s="36"/>
      <c r="AH427" s="36"/>
      <c r="AI427" s="36"/>
      <c r="AJ427" s="36"/>
      <c r="AK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AF428" s="36"/>
      <c r="AG428" s="36"/>
      <c r="AH428" s="36"/>
      <c r="AI428" s="36"/>
      <c r="AJ428" s="36"/>
      <c r="AK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AF429" s="36"/>
      <c r="AG429" s="36"/>
      <c r="AH429" s="36"/>
      <c r="AI429" s="36"/>
      <c r="AJ429" s="36"/>
      <c r="AK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AF430" s="36"/>
      <c r="AG430" s="36"/>
      <c r="AH430" s="36"/>
      <c r="AI430" s="36"/>
      <c r="AJ430" s="36"/>
      <c r="AK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AF431" s="36"/>
      <c r="AG431" s="36"/>
      <c r="AH431" s="36"/>
      <c r="AI431" s="36"/>
      <c r="AJ431" s="36"/>
      <c r="AK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AF432" s="36"/>
      <c r="AG432" s="36"/>
      <c r="AH432" s="36"/>
      <c r="AI432" s="36"/>
      <c r="AJ432" s="36"/>
      <c r="AK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AF433" s="36"/>
      <c r="AG433" s="36"/>
      <c r="AH433" s="36"/>
      <c r="AI433" s="36"/>
      <c r="AJ433" s="36"/>
      <c r="AK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AF434" s="36"/>
      <c r="AG434" s="36"/>
      <c r="AH434" s="36"/>
      <c r="AI434" s="36"/>
      <c r="AJ434" s="36"/>
      <c r="AK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AF435" s="36"/>
      <c r="AG435" s="36"/>
      <c r="AH435" s="36"/>
      <c r="AI435" s="36"/>
      <c r="AJ435" s="36"/>
      <c r="AK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AF436" s="36"/>
      <c r="AG436" s="36"/>
      <c r="AH436" s="36"/>
      <c r="AI436" s="36"/>
      <c r="AJ436" s="36"/>
      <c r="AK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AF437" s="36"/>
      <c r="AG437" s="36"/>
      <c r="AH437" s="36"/>
      <c r="AI437" s="36"/>
      <c r="AJ437" s="36"/>
      <c r="AK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AF438" s="36"/>
      <c r="AG438" s="36"/>
      <c r="AH438" s="36"/>
      <c r="AI438" s="36"/>
      <c r="AJ438" s="36"/>
      <c r="AK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AF439" s="36"/>
      <c r="AG439" s="36"/>
      <c r="AH439" s="36"/>
      <c r="AI439" s="36"/>
      <c r="AJ439" s="36"/>
      <c r="AK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AF440" s="36"/>
      <c r="AG440" s="36"/>
      <c r="AH440" s="36"/>
      <c r="AI440" s="36"/>
      <c r="AJ440" s="36"/>
      <c r="AK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AF441" s="36"/>
      <c r="AG441" s="36"/>
      <c r="AH441" s="36"/>
      <c r="AI441" s="36"/>
      <c r="AJ441" s="36"/>
      <c r="AK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AF442" s="36"/>
      <c r="AG442" s="36"/>
      <c r="AH442" s="36"/>
      <c r="AI442" s="36"/>
      <c r="AJ442" s="36"/>
      <c r="AK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AF443" s="36"/>
      <c r="AG443" s="36"/>
      <c r="AH443" s="36"/>
      <c r="AI443" s="36"/>
      <c r="AJ443" s="36"/>
      <c r="AK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AF444" s="36"/>
      <c r="AG444" s="36"/>
      <c r="AH444" s="36"/>
      <c r="AI444" s="36"/>
      <c r="AJ444" s="36"/>
      <c r="AK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AF445" s="36"/>
      <c r="AG445" s="36"/>
      <c r="AH445" s="36"/>
      <c r="AI445" s="36"/>
      <c r="AJ445" s="36"/>
      <c r="AK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AF446" s="36"/>
      <c r="AG446" s="36"/>
      <c r="AH446" s="36"/>
      <c r="AI446" s="36"/>
      <c r="AJ446" s="36"/>
      <c r="AK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AF447" s="36"/>
      <c r="AG447" s="36"/>
      <c r="AH447" s="36"/>
      <c r="AI447" s="36"/>
      <c r="AJ447" s="36"/>
      <c r="AK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AF448" s="36"/>
      <c r="AG448" s="36"/>
      <c r="AH448" s="36"/>
      <c r="AI448" s="36"/>
      <c r="AJ448" s="36"/>
      <c r="AK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AF449" s="36"/>
      <c r="AG449" s="36"/>
      <c r="AH449" s="36"/>
      <c r="AI449" s="36"/>
      <c r="AJ449" s="36"/>
      <c r="AK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AF450" s="36"/>
      <c r="AG450" s="36"/>
      <c r="AH450" s="36"/>
      <c r="AI450" s="36"/>
      <c r="AJ450" s="36"/>
      <c r="AK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AF451" s="36"/>
      <c r="AG451" s="36"/>
      <c r="AH451" s="36"/>
      <c r="AI451" s="36"/>
      <c r="AJ451" s="36"/>
      <c r="AK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AF452" s="36"/>
      <c r="AG452" s="36"/>
      <c r="AH452" s="36"/>
      <c r="AI452" s="36"/>
      <c r="AJ452" s="36"/>
      <c r="AK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AF453" s="36"/>
      <c r="AG453" s="36"/>
      <c r="AH453" s="36"/>
      <c r="AI453" s="36"/>
      <c r="AJ453" s="36"/>
      <c r="AK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AF454" s="36"/>
      <c r="AG454" s="36"/>
      <c r="AH454" s="36"/>
      <c r="AI454" s="36"/>
      <c r="AJ454" s="36"/>
      <c r="AK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AF455" s="36"/>
      <c r="AG455" s="36"/>
      <c r="AH455" s="36"/>
      <c r="AI455" s="36"/>
      <c r="AJ455" s="36"/>
      <c r="AK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AF456" s="36"/>
      <c r="AG456" s="36"/>
      <c r="AH456" s="36"/>
      <c r="AI456" s="36"/>
      <c r="AJ456" s="36"/>
      <c r="AK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AF457" s="36"/>
      <c r="AG457" s="36"/>
      <c r="AH457" s="36"/>
      <c r="AI457" s="36"/>
      <c r="AJ457" s="36"/>
      <c r="AK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AF458" s="36"/>
      <c r="AG458" s="36"/>
      <c r="AH458" s="36"/>
      <c r="AI458" s="36"/>
      <c r="AJ458" s="36"/>
      <c r="AK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AF459" s="36"/>
      <c r="AG459" s="36"/>
      <c r="AH459" s="36"/>
      <c r="AI459" s="36"/>
      <c r="AJ459" s="36"/>
      <c r="AK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AF460" s="36"/>
      <c r="AG460" s="36"/>
      <c r="AH460" s="36"/>
      <c r="AI460" s="36"/>
      <c r="AJ460" s="36"/>
      <c r="AK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AF461" s="36"/>
      <c r="AG461" s="36"/>
      <c r="AH461" s="36"/>
      <c r="AI461" s="36"/>
      <c r="AJ461" s="36"/>
      <c r="AK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AF462" s="36"/>
      <c r="AG462" s="36"/>
      <c r="AH462" s="36"/>
      <c r="AI462" s="36"/>
      <c r="AJ462" s="36"/>
      <c r="AK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AF463" s="36"/>
      <c r="AG463" s="36"/>
      <c r="AH463" s="36"/>
      <c r="AI463" s="36"/>
      <c r="AJ463" s="36"/>
      <c r="AK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AF464" s="36"/>
      <c r="AG464" s="36"/>
      <c r="AH464" s="36"/>
      <c r="AI464" s="36"/>
      <c r="AJ464" s="36"/>
      <c r="AK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AF465" s="36"/>
      <c r="AG465" s="36"/>
      <c r="AH465" s="36"/>
      <c r="AI465" s="36"/>
      <c r="AJ465" s="36"/>
      <c r="AK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AF466" s="36"/>
      <c r="AG466" s="36"/>
      <c r="AH466" s="36"/>
      <c r="AI466" s="36"/>
      <c r="AJ466" s="36"/>
      <c r="AK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AF467" s="36"/>
      <c r="AG467" s="36"/>
      <c r="AH467" s="36"/>
      <c r="AI467" s="36"/>
      <c r="AJ467" s="36"/>
      <c r="AK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AF468" s="36"/>
      <c r="AG468" s="36"/>
      <c r="AH468" s="36"/>
      <c r="AI468" s="36"/>
      <c r="AJ468" s="36"/>
      <c r="AK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AF469" s="36"/>
      <c r="AG469" s="36"/>
      <c r="AH469" s="36"/>
      <c r="AI469" s="36"/>
      <c r="AJ469" s="36"/>
      <c r="AK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AF470" s="36"/>
      <c r="AG470" s="36"/>
      <c r="AH470" s="36"/>
      <c r="AI470" s="36"/>
      <c r="AJ470" s="36"/>
      <c r="AK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AF471" s="36"/>
      <c r="AG471" s="36"/>
      <c r="AH471" s="36"/>
      <c r="AI471" s="36"/>
      <c r="AJ471" s="36"/>
      <c r="AK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AF472" s="36"/>
      <c r="AG472" s="36"/>
      <c r="AH472" s="36"/>
      <c r="AI472" s="36"/>
      <c r="AJ472" s="36"/>
      <c r="AK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AF473" s="36"/>
      <c r="AG473" s="36"/>
      <c r="AH473" s="36"/>
      <c r="AI473" s="36"/>
      <c r="AJ473" s="36"/>
      <c r="AK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AF474" s="36"/>
      <c r="AG474" s="36"/>
      <c r="AH474" s="36"/>
      <c r="AI474" s="36"/>
      <c r="AJ474" s="36"/>
      <c r="AK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AF475" s="36"/>
      <c r="AG475" s="36"/>
      <c r="AH475" s="36"/>
      <c r="AI475" s="36"/>
      <c r="AJ475" s="36"/>
      <c r="AK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AF476" s="36"/>
      <c r="AG476" s="36"/>
      <c r="AH476" s="36"/>
      <c r="AI476" s="36"/>
      <c r="AJ476" s="36"/>
      <c r="AK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AF477" s="36"/>
      <c r="AG477" s="36"/>
      <c r="AH477" s="36"/>
      <c r="AI477" s="36"/>
      <c r="AJ477" s="36"/>
      <c r="AK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AF478" s="36"/>
      <c r="AG478" s="36"/>
      <c r="AH478" s="36"/>
      <c r="AI478" s="36"/>
      <c r="AJ478" s="36"/>
      <c r="AK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AF479" s="36"/>
      <c r="AG479" s="36"/>
      <c r="AH479" s="36"/>
      <c r="AI479" s="36"/>
      <c r="AJ479" s="36"/>
      <c r="AK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AF480" s="36"/>
      <c r="AG480" s="36"/>
      <c r="AH480" s="36"/>
      <c r="AI480" s="36"/>
      <c r="AJ480" s="36"/>
      <c r="AK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AF481" s="36"/>
      <c r="AG481" s="36"/>
      <c r="AH481" s="36"/>
      <c r="AI481" s="36"/>
      <c r="AJ481" s="36"/>
      <c r="AK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AF482" s="36"/>
      <c r="AG482" s="36"/>
      <c r="AH482" s="36"/>
      <c r="AI482" s="36"/>
      <c r="AJ482" s="36"/>
      <c r="AK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AF483" s="36"/>
      <c r="AG483" s="36"/>
      <c r="AH483" s="36"/>
      <c r="AI483" s="36"/>
      <c r="AJ483" s="36"/>
      <c r="AK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AF484" s="36"/>
      <c r="AG484" s="36"/>
      <c r="AH484" s="36"/>
      <c r="AI484" s="36"/>
      <c r="AJ484" s="36"/>
      <c r="AK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AF485" s="36"/>
      <c r="AG485" s="36"/>
      <c r="AH485" s="36"/>
      <c r="AI485" s="36"/>
      <c r="AJ485" s="36"/>
      <c r="AK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AF486" s="36"/>
      <c r="AG486" s="36"/>
      <c r="AH486" s="36"/>
      <c r="AI486" s="36"/>
      <c r="AJ486" s="36"/>
      <c r="AK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AF487" s="36"/>
      <c r="AG487" s="36"/>
      <c r="AH487" s="36"/>
      <c r="AI487" s="36"/>
      <c r="AJ487" s="36"/>
      <c r="AK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AF488" s="36"/>
      <c r="AG488" s="36"/>
      <c r="AH488" s="36"/>
      <c r="AI488" s="36"/>
      <c r="AJ488" s="36"/>
      <c r="AK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AF489" s="36"/>
      <c r="AG489" s="36"/>
      <c r="AH489" s="36"/>
      <c r="AI489" s="36"/>
      <c r="AJ489" s="36"/>
      <c r="AK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AF490" s="36"/>
      <c r="AG490" s="36"/>
      <c r="AH490" s="36"/>
      <c r="AI490" s="36"/>
      <c r="AJ490" s="36"/>
      <c r="AK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AF491" s="36"/>
      <c r="AG491" s="36"/>
      <c r="AH491" s="36"/>
      <c r="AI491" s="36"/>
      <c r="AJ491" s="36"/>
      <c r="AK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AF492" s="36"/>
      <c r="AG492" s="36"/>
      <c r="AH492" s="36"/>
      <c r="AI492" s="36"/>
      <c r="AJ492" s="36"/>
      <c r="AK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AF493" s="36"/>
      <c r="AG493" s="36"/>
      <c r="AH493" s="36"/>
      <c r="AI493" s="36"/>
      <c r="AJ493" s="36"/>
      <c r="AK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AF494" s="36"/>
      <c r="AG494" s="36"/>
      <c r="AH494" s="36"/>
      <c r="AI494" s="36"/>
      <c r="AJ494" s="36"/>
      <c r="AK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AF495" s="36"/>
      <c r="AG495" s="36"/>
      <c r="AH495" s="36"/>
      <c r="AI495" s="36"/>
      <c r="AJ495" s="36"/>
      <c r="AK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AF496" s="36"/>
      <c r="AG496" s="36"/>
      <c r="AH496" s="36"/>
      <c r="AI496" s="36"/>
      <c r="AJ496" s="36"/>
      <c r="AK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AF497" s="36"/>
      <c r="AG497" s="36"/>
      <c r="AH497" s="36"/>
      <c r="AI497" s="36"/>
      <c r="AJ497" s="36"/>
      <c r="AK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AF498" s="36"/>
      <c r="AG498" s="36"/>
      <c r="AH498" s="36"/>
      <c r="AI498" s="36"/>
      <c r="AJ498" s="36"/>
      <c r="AK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AF499" s="36"/>
      <c r="AG499" s="36"/>
      <c r="AH499" s="36"/>
      <c r="AI499" s="36"/>
      <c r="AJ499" s="36"/>
      <c r="AK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AF500" s="36"/>
      <c r="AG500" s="36"/>
      <c r="AH500" s="36"/>
      <c r="AI500" s="36"/>
      <c r="AJ500" s="36"/>
      <c r="AK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AF501" s="36"/>
      <c r="AG501" s="36"/>
      <c r="AH501" s="36"/>
      <c r="AI501" s="36"/>
      <c r="AJ501" s="36"/>
      <c r="AK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AF502" s="36"/>
      <c r="AG502" s="36"/>
      <c r="AH502" s="36"/>
      <c r="AI502" s="36"/>
      <c r="AJ502" s="36"/>
      <c r="AK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AF503" s="36"/>
      <c r="AG503" s="36"/>
      <c r="AH503" s="36"/>
      <c r="AI503" s="36"/>
      <c r="AJ503" s="36"/>
      <c r="AK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AF504" s="36"/>
      <c r="AG504" s="36"/>
      <c r="AH504" s="36"/>
      <c r="AI504" s="36"/>
      <c r="AJ504" s="36"/>
      <c r="AK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AF505" s="36"/>
      <c r="AG505" s="36"/>
      <c r="AH505" s="36"/>
      <c r="AI505" s="36"/>
      <c r="AJ505" s="36"/>
      <c r="AK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AF506" s="36"/>
      <c r="AG506" s="36"/>
      <c r="AH506" s="36"/>
      <c r="AI506" s="36"/>
      <c r="AJ506" s="36"/>
      <c r="AK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AF507" s="36"/>
      <c r="AG507" s="36"/>
      <c r="AH507" s="36"/>
      <c r="AI507" s="36"/>
      <c r="AJ507" s="36"/>
      <c r="AK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AF508" s="36"/>
      <c r="AG508" s="36"/>
      <c r="AH508" s="36"/>
      <c r="AI508" s="36"/>
      <c r="AJ508" s="36"/>
      <c r="AK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AF509" s="36"/>
      <c r="AG509" s="36"/>
      <c r="AH509" s="36"/>
      <c r="AI509" s="36"/>
      <c r="AJ509" s="36"/>
      <c r="AK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AF510" s="36"/>
      <c r="AG510" s="36"/>
      <c r="AH510" s="36"/>
      <c r="AI510" s="36"/>
      <c r="AJ510" s="36"/>
      <c r="AK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AF511" s="36"/>
      <c r="AG511" s="36"/>
      <c r="AH511" s="36"/>
      <c r="AI511" s="36"/>
      <c r="AJ511" s="36"/>
      <c r="AK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AF512" s="36"/>
      <c r="AG512" s="36"/>
      <c r="AH512" s="36"/>
      <c r="AI512" s="36"/>
      <c r="AJ512" s="36"/>
      <c r="AK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AF513" s="36"/>
      <c r="AG513" s="36"/>
      <c r="AH513" s="36"/>
      <c r="AI513" s="36"/>
      <c r="AJ513" s="36"/>
      <c r="AK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AF514" s="36"/>
      <c r="AG514" s="36"/>
      <c r="AH514" s="36"/>
      <c r="AI514" s="36"/>
      <c r="AJ514" s="36"/>
      <c r="AK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AF515" s="36"/>
      <c r="AG515" s="36"/>
      <c r="AH515" s="36"/>
      <c r="AI515" s="36"/>
      <c r="AJ515" s="36"/>
      <c r="AK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AF516" s="36"/>
      <c r="AG516" s="36"/>
      <c r="AH516" s="36"/>
      <c r="AI516" s="36"/>
      <c r="AJ516" s="36"/>
      <c r="AK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AF517" s="36"/>
      <c r="AG517" s="36"/>
      <c r="AH517" s="36"/>
      <c r="AI517" s="36"/>
      <c r="AJ517" s="36"/>
      <c r="AK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AF518" s="36"/>
      <c r="AG518" s="36"/>
      <c r="AH518" s="36"/>
      <c r="AI518" s="36"/>
      <c r="AJ518" s="36"/>
      <c r="AK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AF519" s="36"/>
      <c r="AG519" s="36"/>
      <c r="AH519" s="36"/>
      <c r="AI519" s="36"/>
      <c r="AJ519" s="36"/>
      <c r="AK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AF520" s="36"/>
      <c r="AG520" s="36"/>
      <c r="AH520" s="36"/>
      <c r="AI520" s="36"/>
      <c r="AJ520" s="36"/>
      <c r="AK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AF521" s="36"/>
      <c r="AG521" s="36"/>
      <c r="AH521" s="36"/>
      <c r="AI521" s="36"/>
      <c r="AJ521" s="36"/>
      <c r="AK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AF522" s="36"/>
      <c r="AG522" s="36"/>
      <c r="AH522" s="36"/>
      <c r="AI522" s="36"/>
      <c r="AJ522" s="36"/>
      <c r="AK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AF523" s="36"/>
      <c r="AG523" s="36"/>
      <c r="AH523" s="36"/>
      <c r="AI523" s="36"/>
      <c r="AJ523" s="36"/>
      <c r="AK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AF524" s="36"/>
      <c r="AG524" s="36"/>
      <c r="AH524" s="36"/>
      <c r="AI524" s="36"/>
      <c r="AJ524" s="36"/>
      <c r="AK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AF525" s="36"/>
      <c r="AG525" s="36"/>
      <c r="AH525" s="36"/>
      <c r="AI525" s="36"/>
      <c r="AJ525" s="36"/>
      <c r="AK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AF526" s="36"/>
      <c r="AG526" s="36"/>
      <c r="AH526" s="36"/>
      <c r="AI526" s="36"/>
      <c r="AJ526" s="36"/>
      <c r="AK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AF527" s="36"/>
      <c r="AG527" s="36"/>
      <c r="AH527" s="36"/>
      <c r="AI527" s="36"/>
      <c r="AJ527" s="36"/>
      <c r="AK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AF528" s="36"/>
      <c r="AG528" s="36"/>
      <c r="AH528" s="36"/>
      <c r="AI528" s="36"/>
      <c r="AJ528" s="36"/>
      <c r="AK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AF529" s="36"/>
      <c r="AG529" s="36"/>
      <c r="AH529" s="36"/>
      <c r="AI529" s="36"/>
      <c r="AJ529" s="36"/>
      <c r="AK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AF530" s="36"/>
      <c r="AG530" s="36"/>
      <c r="AH530" s="36"/>
      <c r="AI530" s="36"/>
      <c r="AJ530" s="36"/>
      <c r="AK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AF531" s="36"/>
      <c r="AG531" s="36"/>
      <c r="AH531" s="36"/>
      <c r="AI531" s="36"/>
      <c r="AJ531" s="36"/>
      <c r="AK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AF532" s="36"/>
      <c r="AG532" s="36"/>
      <c r="AH532" s="36"/>
      <c r="AI532" s="36"/>
      <c r="AJ532" s="36"/>
      <c r="AK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AF533" s="36"/>
      <c r="AG533" s="36"/>
      <c r="AH533" s="36"/>
      <c r="AI533" s="36"/>
      <c r="AJ533" s="36"/>
      <c r="AK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AF534" s="36"/>
      <c r="AG534" s="36"/>
      <c r="AH534" s="36"/>
      <c r="AI534" s="36"/>
      <c r="AJ534" s="36"/>
      <c r="AK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AF535" s="36"/>
      <c r="AG535" s="36"/>
      <c r="AH535" s="36"/>
      <c r="AI535" s="36"/>
      <c r="AJ535" s="36"/>
      <c r="AK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AF536" s="36"/>
      <c r="AG536" s="36"/>
      <c r="AH536" s="36"/>
      <c r="AI536" s="36"/>
      <c r="AJ536" s="36"/>
      <c r="AK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AF537" s="36"/>
      <c r="AG537" s="36"/>
      <c r="AH537" s="36"/>
      <c r="AI537" s="36"/>
      <c r="AJ537" s="36"/>
      <c r="AK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AF538" s="36"/>
      <c r="AG538" s="36"/>
      <c r="AH538" s="36"/>
      <c r="AI538" s="36"/>
      <c r="AJ538" s="36"/>
      <c r="AK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AF539" s="36"/>
      <c r="AG539" s="36"/>
      <c r="AH539" s="36"/>
      <c r="AI539" s="36"/>
      <c r="AJ539" s="36"/>
      <c r="AK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AF540" s="36"/>
      <c r="AG540" s="36"/>
      <c r="AH540" s="36"/>
      <c r="AI540" s="36"/>
      <c r="AJ540" s="36"/>
      <c r="AK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AF541" s="36"/>
      <c r="AG541" s="36"/>
      <c r="AH541" s="36"/>
      <c r="AI541" s="36"/>
      <c r="AJ541" s="36"/>
      <c r="AK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AF542" s="36"/>
      <c r="AG542" s="36"/>
      <c r="AH542" s="36"/>
      <c r="AI542" s="36"/>
      <c r="AJ542" s="36"/>
      <c r="AK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AF543" s="36"/>
      <c r="AG543" s="36"/>
      <c r="AH543" s="36"/>
      <c r="AI543" s="36"/>
      <c r="AJ543" s="36"/>
      <c r="AK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AF544" s="36"/>
      <c r="AG544" s="36"/>
      <c r="AH544" s="36"/>
      <c r="AI544" s="36"/>
      <c r="AJ544" s="36"/>
      <c r="AK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AF545" s="36"/>
      <c r="AG545" s="36"/>
      <c r="AH545" s="36"/>
      <c r="AI545" s="36"/>
      <c r="AJ545" s="36"/>
      <c r="AK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AF546" s="36"/>
      <c r="AG546" s="36"/>
      <c r="AH546" s="36"/>
      <c r="AI546" s="36"/>
      <c r="AJ546" s="36"/>
      <c r="AK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AF547" s="36"/>
      <c r="AG547" s="36"/>
      <c r="AH547" s="36"/>
      <c r="AI547" s="36"/>
      <c r="AJ547" s="36"/>
      <c r="AK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AF548" s="36"/>
      <c r="AG548" s="36"/>
      <c r="AH548" s="36"/>
      <c r="AI548" s="36"/>
      <c r="AJ548" s="36"/>
      <c r="AK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AF549" s="36"/>
      <c r="AG549" s="36"/>
      <c r="AH549" s="36"/>
      <c r="AI549" s="36"/>
      <c r="AJ549" s="36"/>
      <c r="AK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AF550" s="36"/>
      <c r="AG550" s="36"/>
      <c r="AH550" s="36"/>
      <c r="AI550" s="36"/>
      <c r="AJ550" s="36"/>
      <c r="AK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AF551" s="36"/>
      <c r="AG551" s="36"/>
      <c r="AH551" s="36"/>
      <c r="AI551" s="36"/>
      <c r="AJ551" s="36"/>
      <c r="AK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AF552" s="36"/>
      <c r="AG552" s="36"/>
      <c r="AH552" s="36"/>
      <c r="AI552" s="36"/>
      <c r="AJ552" s="36"/>
      <c r="AK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AF553" s="36"/>
      <c r="AG553" s="36"/>
      <c r="AH553" s="36"/>
      <c r="AI553" s="36"/>
      <c r="AJ553" s="36"/>
      <c r="AK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AF554" s="36"/>
      <c r="AG554" s="36"/>
      <c r="AH554" s="36"/>
      <c r="AI554" s="36"/>
      <c r="AJ554" s="36"/>
      <c r="AK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AF555" s="36"/>
      <c r="AG555" s="36"/>
      <c r="AH555" s="36"/>
      <c r="AI555" s="36"/>
      <c r="AJ555" s="36"/>
      <c r="AK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AF556" s="36"/>
      <c r="AG556" s="36"/>
      <c r="AH556" s="36"/>
      <c r="AI556" s="36"/>
      <c r="AJ556" s="36"/>
      <c r="AK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AF557" s="36"/>
      <c r="AG557" s="36"/>
      <c r="AH557" s="36"/>
      <c r="AI557" s="36"/>
      <c r="AJ557" s="36"/>
      <c r="AK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AF558" s="36"/>
      <c r="AG558" s="36"/>
      <c r="AH558" s="36"/>
      <c r="AI558" s="36"/>
      <c r="AJ558" s="36"/>
      <c r="AK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AF559" s="36"/>
      <c r="AG559" s="36"/>
      <c r="AH559" s="36"/>
      <c r="AI559" s="36"/>
      <c r="AJ559" s="36"/>
      <c r="AK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AF560" s="36"/>
      <c r="AG560" s="36"/>
      <c r="AH560" s="36"/>
      <c r="AI560" s="36"/>
      <c r="AJ560" s="36"/>
      <c r="AK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AF561" s="36"/>
      <c r="AG561" s="36"/>
      <c r="AH561" s="36"/>
      <c r="AI561" s="36"/>
      <c r="AJ561" s="36"/>
      <c r="AK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AF562" s="36"/>
      <c r="AG562" s="36"/>
      <c r="AH562" s="36"/>
      <c r="AI562" s="36"/>
      <c r="AJ562" s="36"/>
      <c r="AK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AF563" s="36"/>
      <c r="AG563" s="36"/>
      <c r="AH563" s="36"/>
      <c r="AI563" s="36"/>
      <c r="AJ563" s="36"/>
      <c r="AK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AF564" s="36"/>
      <c r="AG564" s="36"/>
      <c r="AH564" s="36"/>
      <c r="AI564" s="36"/>
      <c r="AJ564" s="36"/>
      <c r="AK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AF565" s="36"/>
      <c r="AG565" s="36"/>
      <c r="AH565" s="36"/>
      <c r="AI565" s="36"/>
      <c r="AJ565" s="36"/>
      <c r="AK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AF566" s="36"/>
      <c r="AG566" s="36"/>
      <c r="AH566" s="36"/>
      <c r="AI566" s="36"/>
      <c r="AJ566" s="36"/>
      <c r="AK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AF567" s="36"/>
      <c r="AG567" s="36"/>
      <c r="AH567" s="36"/>
      <c r="AI567" s="36"/>
      <c r="AJ567" s="36"/>
      <c r="AK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AF568" s="36"/>
      <c r="AG568" s="36"/>
      <c r="AH568" s="36"/>
      <c r="AI568" s="36"/>
      <c r="AJ568" s="36"/>
      <c r="AK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AF569" s="36"/>
      <c r="AG569" s="36"/>
      <c r="AH569" s="36"/>
      <c r="AI569" s="36"/>
      <c r="AJ569" s="36"/>
      <c r="AK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AF570" s="36"/>
      <c r="AG570" s="36"/>
      <c r="AH570" s="36"/>
      <c r="AI570" s="36"/>
      <c r="AJ570" s="36"/>
      <c r="AK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AF571" s="36"/>
      <c r="AG571" s="36"/>
      <c r="AH571" s="36"/>
      <c r="AI571" s="36"/>
      <c r="AJ571" s="36"/>
      <c r="AK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AF572" s="36"/>
      <c r="AG572" s="36"/>
      <c r="AH572" s="36"/>
      <c r="AI572" s="36"/>
      <c r="AJ572" s="36"/>
      <c r="AK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AF573" s="36"/>
      <c r="AG573" s="36"/>
      <c r="AH573" s="36"/>
      <c r="AI573" s="36"/>
      <c r="AJ573" s="36"/>
      <c r="AK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AF574" s="36"/>
      <c r="AG574" s="36"/>
      <c r="AH574" s="36"/>
      <c r="AI574" s="36"/>
      <c r="AJ574" s="36"/>
      <c r="AK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AF575" s="36"/>
      <c r="AG575" s="36"/>
      <c r="AH575" s="36"/>
      <c r="AI575" s="36"/>
      <c r="AJ575" s="36"/>
      <c r="AK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AF576" s="36"/>
      <c r="AG576" s="36"/>
      <c r="AH576" s="36"/>
      <c r="AI576" s="36"/>
      <c r="AJ576" s="36"/>
      <c r="AK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AF577" s="36"/>
      <c r="AG577" s="36"/>
      <c r="AH577" s="36"/>
      <c r="AI577" s="36"/>
      <c r="AJ577" s="36"/>
      <c r="AK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AF578" s="36"/>
      <c r="AG578" s="36"/>
      <c r="AH578" s="36"/>
      <c r="AI578" s="36"/>
      <c r="AJ578" s="36"/>
      <c r="AK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AF579" s="36"/>
      <c r="AG579" s="36"/>
      <c r="AH579" s="36"/>
      <c r="AI579" s="36"/>
      <c r="AJ579" s="36"/>
      <c r="AK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AF580" s="36"/>
      <c r="AG580" s="36"/>
      <c r="AH580" s="36"/>
      <c r="AI580" s="36"/>
      <c r="AJ580" s="36"/>
      <c r="AK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AF581" s="36"/>
      <c r="AG581" s="36"/>
      <c r="AH581" s="36"/>
      <c r="AI581" s="36"/>
      <c r="AJ581" s="36"/>
      <c r="AK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AF582" s="36"/>
      <c r="AG582" s="36"/>
      <c r="AH582" s="36"/>
      <c r="AI582" s="36"/>
      <c r="AJ582" s="36"/>
      <c r="AK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AF583" s="36"/>
      <c r="AG583" s="36"/>
      <c r="AH583" s="36"/>
      <c r="AI583" s="36"/>
      <c r="AJ583" s="36"/>
      <c r="AK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AF584" s="36"/>
      <c r="AG584" s="36"/>
      <c r="AH584" s="36"/>
      <c r="AI584" s="36"/>
      <c r="AJ584" s="36"/>
      <c r="AK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AF585" s="36"/>
      <c r="AG585" s="36"/>
      <c r="AH585" s="36"/>
      <c r="AI585" s="36"/>
      <c r="AJ585" s="36"/>
      <c r="AK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AF586" s="36"/>
      <c r="AG586" s="36"/>
      <c r="AH586" s="36"/>
      <c r="AI586" s="36"/>
      <c r="AJ586" s="36"/>
      <c r="AK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AF587" s="36"/>
      <c r="AG587" s="36"/>
      <c r="AH587" s="36"/>
      <c r="AI587" s="36"/>
      <c r="AJ587" s="36"/>
      <c r="AK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AF588" s="36"/>
      <c r="AG588" s="36"/>
      <c r="AH588" s="36"/>
      <c r="AI588" s="36"/>
      <c r="AJ588" s="36"/>
      <c r="AK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AF589" s="36"/>
      <c r="AG589" s="36"/>
      <c r="AH589" s="36"/>
      <c r="AI589" s="36"/>
      <c r="AJ589" s="36"/>
      <c r="AK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AF590" s="36"/>
      <c r="AG590" s="36"/>
      <c r="AH590" s="36"/>
      <c r="AI590" s="36"/>
      <c r="AJ590" s="36"/>
      <c r="AK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AF591" s="36"/>
      <c r="AG591" s="36"/>
      <c r="AH591" s="36"/>
      <c r="AI591" s="36"/>
      <c r="AJ591" s="36"/>
      <c r="AK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AF592" s="36"/>
      <c r="AG592" s="36"/>
      <c r="AH592" s="36"/>
      <c r="AI592" s="36"/>
      <c r="AJ592" s="36"/>
      <c r="AK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AF593" s="36"/>
      <c r="AG593" s="36"/>
      <c r="AH593" s="36"/>
      <c r="AI593" s="36"/>
      <c r="AJ593" s="36"/>
      <c r="AK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AF594" s="36"/>
      <c r="AG594" s="36"/>
      <c r="AH594" s="36"/>
      <c r="AI594" s="36"/>
      <c r="AJ594" s="36"/>
      <c r="AK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AF595" s="36"/>
      <c r="AG595" s="36"/>
      <c r="AH595" s="36"/>
      <c r="AI595" s="36"/>
      <c r="AJ595" s="36"/>
      <c r="AK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AF596" s="36"/>
      <c r="AG596" s="36"/>
      <c r="AH596" s="36"/>
      <c r="AI596" s="36"/>
      <c r="AJ596" s="36"/>
      <c r="AK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AF597" s="36"/>
      <c r="AG597" s="36"/>
      <c r="AH597" s="36"/>
      <c r="AI597" s="36"/>
      <c r="AJ597" s="36"/>
      <c r="AK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AF598" s="36"/>
      <c r="AG598" s="36"/>
      <c r="AH598" s="36"/>
      <c r="AI598" s="36"/>
      <c r="AJ598" s="36"/>
      <c r="AK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AF599" s="36"/>
      <c r="AG599" s="36"/>
      <c r="AH599" s="36"/>
      <c r="AI599" s="36"/>
      <c r="AJ599" s="36"/>
      <c r="AK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AF600" s="36"/>
      <c r="AG600" s="36"/>
      <c r="AH600" s="36"/>
      <c r="AI600" s="36"/>
      <c r="AJ600" s="36"/>
      <c r="AK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AF601" s="36"/>
      <c r="AG601" s="36"/>
      <c r="AH601" s="36"/>
      <c r="AI601" s="36"/>
      <c r="AJ601" s="36"/>
      <c r="AK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AF602" s="36"/>
      <c r="AG602" s="36"/>
      <c r="AH602" s="36"/>
      <c r="AI602" s="36"/>
      <c r="AJ602" s="36"/>
      <c r="AK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AF603" s="36"/>
      <c r="AG603" s="36"/>
      <c r="AH603" s="36"/>
      <c r="AI603" s="36"/>
      <c r="AJ603" s="36"/>
      <c r="AK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AF604" s="36"/>
      <c r="AG604" s="36"/>
      <c r="AH604" s="36"/>
      <c r="AI604" s="36"/>
      <c r="AJ604" s="36"/>
      <c r="AK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AF605" s="36"/>
      <c r="AG605" s="36"/>
      <c r="AH605" s="36"/>
      <c r="AI605" s="36"/>
      <c r="AJ605" s="36"/>
      <c r="AK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AF606" s="36"/>
      <c r="AG606" s="36"/>
      <c r="AH606" s="36"/>
      <c r="AI606" s="36"/>
      <c r="AJ606" s="36"/>
      <c r="AK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AF607" s="36"/>
      <c r="AG607" s="36"/>
      <c r="AH607" s="36"/>
      <c r="AI607" s="36"/>
      <c r="AJ607" s="36"/>
      <c r="AK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AF608" s="36"/>
      <c r="AG608" s="36"/>
      <c r="AH608" s="36"/>
      <c r="AI608" s="36"/>
      <c r="AJ608" s="36"/>
      <c r="AK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AF609" s="36"/>
      <c r="AG609" s="36"/>
      <c r="AH609" s="36"/>
      <c r="AI609" s="36"/>
      <c r="AJ609" s="36"/>
      <c r="AK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AF610" s="36"/>
      <c r="AG610" s="36"/>
      <c r="AH610" s="36"/>
      <c r="AI610" s="36"/>
      <c r="AJ610" s="36"/>
      <c r="AK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AF611" s="36"/>
      <c r="AG611" s="36"/>
      <c r="AH611" s="36"/>
      <c r="AI611" s="36"/>
      <c r="AJ611" s="36"/>
      <c r="AK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AF612" s="36"/>
      <c r="AG612" s="36"/>
      <c r="AH612" s="36"/>
      <c r="AI612" s="36"/>
      <c r="AJ612" s="36"/>
      <c r="AK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AF613" s="36"/>
      <c r="AG613" s="36"/>
      <c r="AH613" s="36"/>
      <c r="AI613" s="36"/>
      <c r="AJ613" s="36"/>
      <c r="AK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AF614" s="36"/>
      <c r="AG614" s="36"/>
      <c r="AH614" s="36"/>
      <c r="AI614" s="36"/>
      <c r="AJ614" s="36"/>
      <c r="AK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AF615" s="36"/>
      <c r="AG615" s="36"/>
      <c r="AH615" s="36"/>
      <c r="AI615" s="36"/>
      <c r="AJ615" s="36"/>
      <c r="AK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AF616" s="36"/>
      <c r="AG616" s="36"/>
      <c r="AH616" s="36"/>
      <c r="AI616" s="36"/>
      <c r="AJ616" s="36"/>
      <c r="AK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AF617" s="36"/>
      <c r="AG617" s="36"/>
      <c r="AH617" s="36"/>
      <c r="AI617" s="36"/>
      <c r="AJ617" s="36"/>
      <c r="AK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AF618" s="36"/>
      <c r="AG618" s="36"/>
      <c r="AH618" s="36"/>
      <c r="AI618" s="36"/>
      <c r="AJ618" s="36"/>
      <c r="AK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AF619" s="36"/>
      <c r="AG619" s="36"/>
      <c r="AH619" s="36"/>
      <c r="AI619" s="36"/>
      <c r="AJ619" s="36"/>
      <c r="AK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AF620" s="36"/>
      <c r="AG620" s="36"/>
      <c r="AH620" s="36"/>
      <c r="AI620" s="36"/>
      <c r="AJ620" s="36"/>
      <c r="AK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AF621" s="36"/>
      <c r="AG621" s="36"/>
      <c r="AH621" s="36"/>
      <c r="AI621" s="36"/>
      <c r="AJ621" s="36"/>
      <c r="AK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AF622" s="36"/>
      <c r="AG622" s="36"/>
      <c r="AH622" s="36"/>
      <c r="AI622" s="36"/>
      <c r="AJ622" s="36"/>
      <c r="AK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AF623" s="36"/>
      <c r="AG623" s="36"/>
      <c r="AH623" s="36"/>
      <c r="AI623" s="36"/>
      <c r="AJ623" s="36"/>
      <c r="AK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AF624" s="36"/>
      <c r="AG624" s="36"/>
      <c r="AH624" s="36"/>
      <c r="AI624" s="36"/>
      <c r="AJ624" s="36"/>
      <c r="AK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AF625" s="36"/>
      <c r="AG625" s="36"/>
      <c r="AH625" s="36"/>
      <c r="AI625" s="36"/>
      <c r="AJ625" s="36"/>
      <c r="AK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AF626" s="36"/>
      <c r="AG626" s="36"/>
      <c r="AH626" s="36"/>
      <c r="AI626" s="36"/>
      <c r="AJ626" s="36"/>
      <c r="AK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AF627" s="36"/>
      <c r="AG627" s="36"/>
      <c r="AH627" s="36"/>
      <c r="AI627" s="36"/>
      <c r="AJ627" s="36"/>
      <c r="AK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AF628" s="36"/>
      <c r="AG628" s="36"/>
      <c r="AH628" s="36"/>
      <c r="AI628" s="36"/>
      <c r="AJ628" s="36"/>
      <c r="AK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AF629" s="36"/>
      <c r="AG629" s="36"/>
      <c r="AH629" s="36"/>
      <c r="AI629" s="36"/>
      <c r="AJ629" s="36"/>
      <c r="AK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AF630" s="36"/>
      <c r="AG630" s="36"/>
      <c r="AH630" s="36"/>
      <c r="AI630" s="36"/>
      <c r="AJ630" s="36"/>
      <c r="AK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AF631" s="36"/>
      <c r="AG631" s="36"/>
      <c r="AH631" s="36"/>
      <c r="AI631" s="36"/>
      <c r="AJ631" s="36"/>
      <c r="AK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AF632" s="36"/>
      <c r="AG632" s="36"/>
      <c r="AH632" s="36"/>
      <c r="AI632" s="36"/>
      <c r="AJ632" s="36"/>
      <c r="AK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AF633" s="36"/>
      <c r="AG633" s="36"/>
      <c r="AH633" s="36"/>
      <c r="AI633" s="36"/>
      <c r="AJ633" s="36"/>
      <c r="AK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AF634" s="36"/>
      <c r="AG634" s="36"/>
      <c r="AH634" s="36"/>
      <c r="AI634" s="36"/>
      <c r="AJ634" s="36"/>
      <c r="AK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AF635" s="36"/>
      <c r="AG635" s="36"/>
      <c r="AH635" s="36"/>
      <c r="AI635" s="36"/>
      <c r="AJ635" s="36"/>
      <c r="AK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AF636" s="36"/>
      <c r="AG636" s="36"/>
      <c r="AH636" s="36"/>
      <c r="AI636" s="36"/>
      <c r="AJ636" s="36"/>
      <c r="AK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AF637" s="36"/>
      <c r="AG637" s="36"/>
      <c r="AH637" s="36"/>
      <c r="AI637" s="36"/>
      <c r="AJ637" s="36"/>
      <c r="AK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AF638" s="36"/>
      <c r="AG638" s="36"/>
      <c r="AH638" s="36"/>
      <c r="AI638" s="36"/>
      <c r="AJ638" s="36"/>
      <c r="AK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AF639" s="36"/>
      <c r="AG639" s="36"/>
      <c r="AH639" s="36"/>
      <c r="AI639" s="36"/>
      <c r="AJ639" s="36"/>
      <c r="AK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AF640" s="36"/>
      <c r="AG640" s="36"/>
      <c r="AH640" s="36"/>
      <c r="AI640" s="36"/>
      <c r="AJ640" s="36"/>
      <c r="AK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AF641" s="36"/>
      <c r="AG641" s="36"/>
      <c r="AH641" s="36"/>
      <c r="AI641" s="36"/>
      <c r="AJ641" s="36"/>
      <c r="AK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AF642" s="36"/>
      <c r="AG642" s="36"/>
      <c r="AH642" s="36"/>
      <c r="AI642" s="36"/>
      <c r="AJ642" s="36"/>
      <c r="AK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AF643" s="36"/>
      <c r="AG643" s="36"/>
      <c r="AH643" s="36"/>
      <c r="AI643" s="36"/>
      <c r="AJ643" s="36"/>
      <c r="AK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AF644" s="36"/>
      <c r="AG644" s="36"/>
      <c r="AH644" s="36"/>
      <c r="AI644" s="36"/>
      <c r="AJ644" s="36"/>
      <c r="AK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AF645" s="36"/>
      <c r="AG645" s="36"/>
      <c r="AH645" s="36"/>
      <c r="AI645" s="36"/>
      <c r="AJ645" s="36"/>
      <c r="AK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AF646" s="36"/>
      <c r="AG646" s="36"/>
      <c r="AH646" s="36"/>
      <c r="AI646" s="36"/>
      <c r="AJ646" s="36"/>
      <c r="AK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AF647" s="36"/>
      <c r="AG647" s="36"/>
      <c r="AH647" s="36"/>
      <c r="AI647" s="36"/>
      <c r="AJ647" s="36"/>
      <c r="AK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AF648" s="36"/>
      <c r="AG648" s="36"/>
      <c r="AH648" s="36"/>
      <c r="AI648" s="36"/>
      <c r="AJ648" s="36"/>
      <c r="AK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AF649" s="36"/>
      <c r="AG649" s="36"/>
      <c r="AH649" s="36"/>
      <c r="AI649" s="36"/>
      <c r="AJ649" s="36"/>
      <c r="AK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AF650" s="36"/>
      <c r="AG650" s="36"/>
      <c r="AH650" s="36"/>
      <c r="AI650" s="36"/>
      <c r="AJ650" s="36"/>
      <c r="AK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AF651" s="36"/>
      <c r="AG651" s="36"/>
      <c r="AH651" s="36"/>
      <c r="AI651" s="36"/>
      <c r="AJ651" s="36"/>
      <c r="AK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AF652" s="36"/>
      <c r="AG652" s="36"/>
      <c r="AH652" s="36"/>
      <c r="AI652" s="36"/>
      <c r="AJ652" s="36"/>
      <c r="AK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AF653" s="36"/>
      <c r="AG653" s="36"/>
      <c r="AH653" s="36"/>
      <c r="AI653" s="36"/>
      <c r="AJ653" s="36"/>
      <c r="AK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AF654" s="36"/>
      <c r="AG654" s="36"/>
      <c r="AH654" s="36"/>
      <c r="AI654" s="36"/>
      <c r="AJ654" s="36"/>
      <c r="AK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AF655" s="36"/>
      <c r="AG655" s="36"/>
      <c r="AH655" s="36"/>
      <c r="AI655" s="36"/>
      <c r="AJ655" s="36"/>
      <c r="AK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AF656" s="36"/>
      <c r="AG656" s="36"/>
      <c r="AH656" s="36"/>
      <c r="AI656" s="36"/>
      <c r="AJ656" s="36"/>
      <c r="AK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AF657" s="36"/>
      <c r="AG657" s="36"/>
      <c r="AH657" s="36"/>
      <c r="AI657" s="36"/>
      <c r="AJ657" s="36"/>
      <c r="AK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AF658" s="36"/>
      <c r="AG658" s="36"/>
      <c r="AH658" s="36"/>
      <c r="AI658" s="36"/>
      <c r="AJ658" s="36"/>
      <c r="AK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AF659" s="36"/>
      <c r="AG659" s="36"/>
      <c r="AH659" s="36"/>
      <c r="AI659" s="36"/>
      <c r="AJ659" s="36"/>
      <c r="AK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AF660" s="36"/>
      <c r="AG660" s="36"/>
      <c r="AH660" s="36"/>
      <c r="AI660" s="36"/>
      <c r="AJ660" s="36"/>
      <c r="AK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AF661" s="36"/>
      <c r="AG661" s="36"/>
      <c r="AH661" s="36"/>
      <c r="AI661" s="36"/>
      <c r="AJ661" s="36"/>
      <c r="AK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AF662" s="36"/>
      <c r="AG662" s="36"/>
      <c r="AH662" s="36"/>
      <c r="AI662" s="36"/>
      <c r="AJ662" s="36"/>
      <c r="AK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AF663" s="36"/>
      <c r="AG663" s="36"/>
      <c r="AH663" s="36"/>
      <c r="AI663" s="36"/>
      <c r="AJ663" s="36"/>
      <c r="AK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AF664" s="36"/>
      <c r="AG664" s="36"/>
      <c r="AH664" s="36"/>
      <c r="AI664" s="36"/>
      <c r="AJ664" s="36"/>
      <c r="AK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AF665" s="36"/>
      <c r="AG665" s="36"/>
      <c r="AH665" s="36"/>
      <c r="AI665" s="36"/>
      <c r="AJ665" s="36"/>
      <c r="AK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AF666" s="36"/>
      <c r="AG666" s="36"/>
      <c r="AH666" s="36"/>
      <c r="AI666" s="36"/>
      <c r="AJ666" s="36"/>
      <c r="AK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AF667" s="36"/>
      <c r="AG667" s="36"/>
      <c r="AH667" s="36"/>
      <c r="AI667" s="36"/>
      <c r="AJ667" s="36"/>
      <c r="AK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AF668" s="36"/>
      <c r="AG668" s="36"/>
      <c r="AH668" s="36"/>
      <c r="AI668" s="36"/>
      <c r="AJ668" s="36"/>
      <c r="AK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AF669" s="36"/>
      <c r="AG669" s="36"/>
      <c r="AH669" s="36"/>
      <c r="AI669" s="36"/>
      <c r="AJ669" s="36"/>
      <c r="AK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AF670" s="36"/>
      <c r="AG670" s="36"/>
      <c r="AH670" s="36"/>
      <c r="AI670" s="36"/>
      <c r="AJ670" s="36"/>
      <c r="AK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AF671" s="36"/>
      <c r="AG671" s="36"/>
      <c r="AH671" s="36"/>
      <c r="AI671" s="36"/>
      <c r="AJ671" s="36"/>
      <c r="AK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AF672" s="36"/>
      <c r="AG672" s="36"/>
      <c r="AH672" s="36"/>
      <c r="AI672" s="36"/>
      <c r="AJ672" s="36"/>
      <c r="AK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AF673" s="36"/>
      <c r="AG673" s="36"/>
      <c r="AH673" s="36"/>
      <c r="AI673" s="36"/>
      <c r="AJ673" s="36"/>
      <c r="AK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AF674" s="36"/>
      <c r="AG674" s="36"/>
      <c r="AH674" s="36"/>
      <c r="AI674" s="36"/>
      <c r="AJ674" s="36"/>
      <c r="AK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AF675" s="36"/>
      <c r="AG675" s="36"/>
      <c r="AH675" s="36"/>
      <c r="AI675" s="36"/>
      <c r="AJ675" s="36"/>
      <c r="AK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AF676" s="36"/>
      <c r="AG676" s="36"/>
      <c r="AH676" s="36"/>
      <c r="AI676" s="36"/>
      <c r="AJ676" s="36"/>
      <c r="AK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AF677" s="36"/>
      <c r="AG677" s="36"/>
      <c r="AH677" s="36"/>
      <c r="AI677" s="36"/>
      <c r="AJ677" s="36"/>
      <c r="AK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AF678" s="36"/>
      <c r="AG678" s="36"/>
      <c r="AH678" s="36"/>
      <c r="AI678" s="36"/>
      <c r="AJ678" s="36"/>
      <c r="AK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AF679" s="36"/>
      <c r="AG679" s="36"/>
      <c r="AH679" s="36"/>
      <c r="AI679" s="36"/>
      <c r="AJ679" s="36"/>
      <c r="AK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AF680" s="36"/>
      <c r="AG680" s="36"/>
      <c r="AH680" s="36"/>
      <c r="AI680" s="36"/>
      <c r="AJ680" s="36"/>
      <c r="AK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AF681" s="36"/>
      <c r="AG681" s="36"/>
      <c r="AH681" s="36"/>
      <c r="AI681" s="36"/>
      <c r="AJ681" s="36"/>
      <c r="AK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AF682" s="36"/>
      <c r="AG682" s="36"/>
      <c r="AH682" s="36"/>
      <c r="AI682" s="36"/>
      <c r="AJ682" s="36"/>
      <c r="AK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AF683" s="36"/>
      <c r="AG683" s="36"/>
      <c r="AH683" s="36"/>
      <c r="AI683" s="36"/>
      <c r="AJ683" s="36"/>
      <c r="AK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AF684" s="36"/>
      <c r="AG684" s="36"/>
      <c r="AH684" s="36"/>
      <c r="AI684" s="36"/>
      <c r="AJ684" s="36"/>
      <c r="AK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AF685" s="36"/>
      <c r="AG685" s="36"/>
      <c r="AH685" s="36"/>
      <c r="AI685" s="36"/>
      <c r="AJ685" s="36"/>
      <c r="AK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AF686" s="36"/>
      <c r="AG686" s="36"/>
      <c r="AH686" s="36"/>
      <c r="AI686" s="36"/>
      <c r="AJ686" s="36"/>
      <c r="AK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AF687" s="36"/>
      <c r="AG687" s="36"/>
      <c r="AH687" s="36"/>
      <c r="AI687" s="36"/>
      <c r="AJ687" s="36"/>
      <c r="AK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AF688" s="36"/>
      <c r="AG688" s="36"/>
      <c r="AH688" s="36"/>
      <c r="AI688" s="36"/>
      <c r="AJ688" s="36"/>
      <c r="AK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AF689" s="36"/>
      <c r="AG689" s="36"/>
      <c r="AH689" s="36"/>
      <c r="AI689" s="36"/>
      <c r="AJ689" s="36"/>
      <c r="AK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AF690" s="36"/>
      <c r="AG690" s="36"/>
      <c r="AH690" s="36"/>
      <c r="AI690" s="36"/>
      <c r="AJ690" s="36"/>
      <c r="AK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AF691" s="36"/>
      <c r="AG691" s="36"/>
      <c r="AH691" s="36"/>
      <c r="AI691" s="36"/>
      <c r="AJ691" s="36"/>
      <c r="AK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AF692" s="36"/>
      <c r="AG692" s="36"/>
      <c r="AH692" s="36"/>
      <c r="AI692" s="36"/>
      <c r="AJ692" s="36"/>
      <c r="AK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AF693" s="36"/>
      <c r="AG693" s="36"/>
      <c r="AH693" s="36"/>
      <c r="AI693" s="36"/>
      <c r="AJ693" s="36"/>
      <c r="AK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AF694" s="36"/>
      <c r="AG694" s="36"/>
      <c r="AH694" s="36"/>
      <c r="AI694" s="36"/>
      <c r="AJ694" s="36"/>
      <c r="AK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AF695" s="36"/>
      <c r="AG695" s="36"/>
      <c r="AH695" s="36"/>
      <c r="AI695" s="36"/>
      <c r="AJ695" s="36"/>
      <c r="AK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AF696" s="36"/>
      <c r="AG696" s="36"/>
      <c r="AH696" s="36"/>
      <c r="AI696" s="36"/>
      <c r="AJ696" s="36"/>
      <c r="AK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AF697" s="36"/>
      <c r="AG697" s="36"/>
      <c r="AH697" s="36"/>
      <c r="AI697" s="36"/>
      <c r="AJ697" s="36"/>
      <c r="AK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AF698" s="36"/>
      <c r="AG698" s="36"/>
      <c r="AH698" s="36"/>
      <c r="AI698" s="36"/>
      <c r="AJ698" s="36"/>
      <c r="AK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AF699" s="36"/>
      <c r="AG699" s="36"/>
      <c r="AH699" s="36"/>
      <c r="AI699" s="36"/>
      <c r="AJ699" s="36"/>
      <c r="AK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AF700" s="36"/>
      <c r="AG700" s="36"/>
      <c r="AH700" s="36"/>
      <c r="AI700" s="36"/>
      <c r="AJ700" s="36"/>
      <c r="AK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AF701" s="36"/>
      <c r="AG701" s="36"/>
      <c r="AH701" s="36"/>
      <c r="AI701" s="36"/>
      <c r="AJ701" s="36"/>
      <c r="AK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AF702" s="36"/>
      <c r="AG702" s="36"/>
      <c r="AH702" s="36"/>
      <c r="AI702" s="36"/>
      <c r="AJ702" s="36"/>
      <c r="AK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AF703" s="36"/>
      <c r="AG703" s="36"/>
      <c r="AH703" s="36"/>
      <c r="AI703" s="36"/>
      <c r="AJ703" s="36"/>
      <c r="AK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AF704" s="36"/>
      <c r="AG704" s="36"/>
      <c r="AH704" s="36"/>
      <c r="AI704" s="36"/>
      <c r="AJ704" s="36"/>
      <c r="AK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AF705" s="36"/>
      <c r="AG705" s="36"/>
      <c r="AH705" s="36"/>
      <c r="AI705" s="36"/>
      <c r="AJ705" s="36"/>
      <c r="AK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AF706" s="36"/>
      <c r="AG706" s="36"/>
      <c r="AH706" s="36"/>
      <c r="AI706" s="36"/>
      <c r="AJ706" s="36"/>
      <c r="AK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AF707" s="36"/>
      <c r="AG707" s="36"/>
      <c r="AH707" s="36"/>
      <c r="AI707" s="36"/>
      <c r="AJ707" s="36"/>
      <c r="AK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AF708" s="36"/>
      <c r="AG708" s="36"/>
      <c r="AH708" s="36"/>
      <c r="AI708" s="36"/>
      <c r="AJ708" s="36"/>
      <c r="AK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AF709" s="36"/>
      <c r="AG709" s="36"/>
      <c r="AH709" s="36"/>
      <c r="AI709" s="36"/>
      <c r="AJ709" s="36"/>
      <c r="AK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AF710" s="36"/>
      <c r="AG710" s="36"/>
      <c r="AH710" s="36"/>
      <c r="AI710" s="36"/>
      <c r="AJ710" s="36"/>
      <c r="AK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AF711" s="36"/>
      <c r="AG711" s="36"/>
      <c r="AH711" s="36"/>
      <c r="AI711" s="36"/>
      <c r="AJ711" s="36"/>
      <c r="AK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AF712" s="36"/>
      <c r="AG712" s="36"/>
      <c r="AH712" s="36"/>
      <c r="AI712" s="36"/>
      <c r="AJ712" s="36"/>
      <c r="AK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AF713" s="36"/>
      <c r="AG713" s="36"/>
      <c r="AH713" s="36"/>
      <c r="AI713" s="36"/>
      <c r="AJ713" s="36"/>
      <c r="AK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AF714" s="36"/>
      <c r="AG714" s="36"/>
      <c r="AH714" s="36"/>
      <c r="AI714" s="36"/>
      <c r="AJ714" s="36"/>
      <c r="AK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AF715" s="36"/>
      <c r="AG715" s="36"/>
      <c r="AH715" s="36"/>
      <c r="AI715" s="36"/>
      <c r="AJ715" s="36"/>
      <c r="AK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AF716" s="36"/>
      <c r="AG716" s="36"/>
      <c r="AH716" s="36"/>
      <c r="AI716" s="36"/>
      <c r="AJ716" s="36"/>
      <c r="AK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AF717" s="36"/>
      <c r="AG717" s="36"/>
      <c r="AH717" s="36"/>
      <c r="AI717" s="36"/>
      <c r="AJ717" s="36"/>
      <c r="AK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AF718" s="36"/>
      <c r="AG718" s="36"/>
      <c r="AH718" s="36"/>
      <c r="AI718" s="36"/>
      <c r="AJ718" s="36"/>
      <c r="AK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AF719" s="36"/>
      <c r="AG719" s="36"/>
      <c r="AH719" s="36"/>
      <c r="AI719" s="36"/>
      <c r="AJ719" s="36"/>
      <c r="AK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AF720" s="36"/>
      <c r="AG720" s="36"/>
      <c r="AH720" s="36"/>
      <c r="AI720" s="36"/>
      <c r="AJ720" s="36"/>
      <c r="AK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AF721" s="36"/>
      <c r="AG721" s="36"/>
      <c r="AH721" s="36"/>
      <c r="AI721" s="36"/>
      <c r="AJ721" s="36"/>
      <c r="AK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AF722" s="36"/>
      <c r="AG722" s="36"/>
      <c r="AH722" s="36"/>
      <c r="AI722" s="36"/>
      <c r="AJ722" s="36"/>
      <c r="AK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AF723" s="36"/>
      <c r="AG723" s="36"/>
      <c r="AH723" s="36"/>
      <c r="AI723" s="36"/>
      <c r="AJ723" s="36"/>
      <c r="AK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AF724" s="36"/>
      <c r="AG724" s="36"/>
      <c r="AH724" s="36"/>
      <c r="AI724" s="36"/>
      <c r="AJ724" s="36"/>
      <c r="AK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AF725" s="36"/>
      <c r="AG725" s="36"/>
      <c r="AH725" s="36"/>
      <c r="AI725" s="36"/>
      <c r="AJ725" s="36"/>
      <c r="AK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AF726" s="36"/>
      <c r="AG726" s="36"/>
      <c r="AH726" s="36"/>
      <c r="AI726" s="36"/>
      <c r="AJ726" s="36"/>
      <c r="AK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AF727" s="36"/>
      <c r="AG727" s="36"/>
      <c r="AH727" s="36"/>
      <c r="AI727" s="36"/>
      <c r="AJ727" s="36"/>
      <c r="AK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AF728" s="36"/>
      <c r="AG728" s="36"/>
      <c r="AH728" s="36"/>
      <c r="AI728" s="36"/>
      <c r="AJ728" s="36"/>
      <c r="AK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AF729" s="36"/>
      <c r="AG729" s="36"/>
      <c r="AH729" s="36"/>
      <c r="AI729" s="36"/>
      <c r="AJ729" s="36"/>
      <c r="AK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AF730" s="36"/>
      <c r="AG730" s="36"/>
      <c r="AH730" s="36"/>
      <c r="AI730" s="36"/>
      <c r="AJ730" s="36"/>
      <c r="AK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AF731" s="36"/>
      <c r="AG731" s="36"/>
      <c r="AH731" s="36"/>
      <c r="AI731" s="36"/>
      <c r="AJ731" s="36"/>
      <c r="AK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AF732" s="36"/>
      <c r="AG732" s="36"/>
      <c r="AH732" s="36"/>
      <c r="AI732" s="36"/>
      <c r="AJ732" s="36"/>
      <c r="AK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AF733" s="36"/>
      <c r="AG733" s="36"/>
      <c r="AH733" s="36"/>
      <c r="AI733" s="36"/>
      <c r="AJ733" s="36"/>
      <c r="AK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AF734" s="36"/>
      <c r="AG734" s="36"/>
      <c r="AH734" s="36"/>
      <c r="AI734" s="36"/>
      <c r="AJ734" s="36"/>
      <c r="AK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AF735" s="36"/>
      <c r="AG735" s="36"/>
      <c r="AH735" s="36"/>
      <c r="AI735" s="36"/>
      <c r="AJ735" s="36"/>
      <c r="AK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AF736" s="36"/>
      <c r="AG736" s="36"/>
      <c r="AH736" s="36"/>
      <c r="AI736" s="36"/>
      <c r="AJ736" s="36"/>
      <c r="AK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AF737" s="36"/>
      <c r="AG737" s="36"/>
      <c r="AH737" s="36"/>
      <c r="AI737" s="36"/>
      <c r="AJ737" s="36"/>
      <c r="AK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AF738" s="36"/>
      <c r="AG738" s="36"/>
      <c r="AH738" s="36"/>
      <c r="AI738" s="36"/>
      <c r="AJ738" s="36"/>
      <c r="AK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AF739" s="36"/>
      <c r="AG739" s="36"/>
      <c r="AH739" s="36"/>
      <c r="AI739" s="36"/>
      <c r="AJ739" s="36"/>
      <c r="AK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AF740" s="36"/>
      <c r="AG740" s="36"/>
      <c r="AH740" s="36"/>
      <c r="AI740" s="36"/>
      <c r="AJ740" s="36"/>
      <c r="A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AF741" s="36"/>
      <c r="AG741" s="36"/>
      <c r="AH741" s="36"/>
      <c r="AI741" s="36"/>
      <c r="AJ741" s="36"/>
      <c r="A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AF742" s="36"/>
      <c r="AG742" s="36"/>
      <c r="AH742" s="36"/>
      <c r="AI742" s="36"/>
      <c r="AJ742" s="36"/>
      <c r="A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AF743" s="36"/>
      <c r="AG743" s="36"/>
      <c r="AH743" s="36"/>
      <c r="AI743" s="36"/>
      <c r="AJ743" s="36"/>
      <c r="A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AF744" s="36"/>
      <c r="AG744" s="36"/>
      <c r="AH744" s="36"/>
      <c r="AI744" s="36"/>
      <c r="AJ744" s="36"/>
      <c r="A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AF745" s="36"/>
      <c r="AG745" s="36"/>
      <c r="AH745" s="36"/>
      <c r="AI745" s="36"/>
      <c r="AJ745" s="36"/>
      <c r="A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AF746" s="36"/>
      <c r="AG746" s="36"/>
      <c r="AH746" s="36"/>
      <c r="AI746" s="36"/>
      <c r="AJ746" s="36"/>
      <c r="A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AF747" s="36"/>
      <c r="AG747" s="36"/>
      <c r="AH747" s="36"/>
      <c r="AI747" s="36"/>
      <c r="AJ747" s="36"/>
      <c r="A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AF748" s="36"/>
      <c r="AG748" s="36"/>
      <c r="AH748" s="36"/>
      <c r="AI748" s="36"/>
      <c r="AJ748" s="36"/>
      <c r="A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AF749" s="36"/>
      <c r="AG749" s="36"/>
      <c r="AH749" s="36"/>
      <c r="AI749" s="36"/>
      <c r="AJ749" s="36"/>
      <c r="A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AF750" s="36"/>
      <c r="AG750" s="36"/>
      <c r="AH750" s="36"/>
      <c r="AI750" s="36"/>
      <c r="AJ750" s="36"/>
      <c r="A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AF751" s="36"/>
      <c r="AG751" s="36"/>
      <c r="AH751" s="36"/>
      <c r="AI751" s="36"/>
      <c r="AJ751" s="36"/>
      <c r="A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AF752" s="36"/>
      <c r="AG752" s="36"/>
      <c r="AH752" s="36"/>
      <c r="AI752" s="36"/>
      <c r="AJ752" s="36"/>
      <c r="A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AF753" s="36"/>
      <c r="AG753" s="36"/>
      <c r="AH753" s="36"/>
      <c r="AI753" s="36"/>
      <c r="AJ753" s="36"/>
      <c r="A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AF754" s="36"/>
      <c r="AG754" s="36"/>
      <c r="AH754" s="36"/>
      <c r="AI754" s="36"/>
      <c r="AJ754" s="36"/>
      <c r="A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AF755" s="36"/>
      <c r="AG755" s="36"/>
      <c r="AH755" s="36"/>
      <c r="AI755" s="36"/>
      <c r="AJ755" s="36"/>
      <c r="A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AF756" s="36"/>
      <c r="AG756" s="36"/>
      <c r="AH756" s="36"/>
      <c r="AI756" s="36"/>
      <c r="AJ756" s="36"/>
      <c r="A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AF757" s="36"/>
      <c r="AG757" s="36"/>
      <c r="AH757" s="36"/>
      <c r="AI757" s="36"/>
      <c r="AJ757" s="36"/>
      <c r="A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AF758" s="36"/>
      <c r="AG758" s="36"/>
      <c r="AH758" s="36"/>
      <c r="AI758" s="36"/>
      <c r="AJ758" s="36"/>
      <c r="A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AF759" s="36"/>
      <c r="AG759" s="36"/>
      <c r="AH759" s="36"/>
      <c r="AI759" s="36"/>
      <c r="AJ759" s="36"/>
      <c r="A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AF760" s="36"/>
      <c r="AG760" s="36"/>
      <c r="AH760" s="36"/>
      <c r="AI760" s="36"/>
      <c r="AJ760" s="36"/>
      <c r="A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AF761" s="36"/>
      <c r="AG761" s="36"/>
      <c r="AH761" s="36"/>
      <c r="AI761" s="36"/>
      <c r="AJ761" s="36"/>
      <c r="A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AF762" s="36"/>
      <c r="AG762" s="36"/>
      <c r="AH762" s="36"/>
      <c r="AI762" s="36"/>
      <c r="AJ762" s="36"/>
      <c r="A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AF763" s="36"/>
      <c r="AG763" s="36"/>
      <c r="AH763" s="36"/>
      <c r="AI763" s="36"/>
      <c r="AJ763" s="36"/>
      <c r="A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AF764" s="36"/>
      <c r="AG764" s="36"/>
      <c r="AH764" s="36"/>
      <c r="AI764" s="36"/>
      <c r="AJ764" s="36"/>
      <c r="A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AF765" s="36"/>
      <c r="AG765" s="36"/>
      <c r="AH765" s="36"/>
      <c r="AI765" s="36"/>
      <c r="AJ765" s="36"/>
      <c r="A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AF766" s="36"/>
      <c r="AG766" s="36"/>
      <c r="AH766" s="36"/>
      <c r="AI766" s="36"/>
      <c r="AJ766" s="36"/>
      <c r="A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AF767" s="36"/>
      <c r="AG767" s="36"/>
      <c r="AH767" s="36"/>
      <c r="AI767" s="36"/>
      <c r="AJ767" s="36"/>
      <c r="A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AF768" s="36"/>
      <c r="AG768" s="36"/>
      <c r="AH768" s="36"/>
      <c r="AI768" s="36"/>
      <c r="AJ768" s="36"/>
      <c r="A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AF769" s="36"/>
      <c r="AG769" s="36"/>
      <c r="AH769" s="36"/>
      <c r="AI769" s="36"/>
      <c r="AJ769" s="36"/>
      <c r="A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AF770" s="36"/>
      <c r="AG770" s="36"/>
      <c r="AH770" s="36"/>
      <c r="AI770" s="36"/>
      <c r="AJ770" s="36"/>
      <c r="A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AF771" s="36"/>
      <c r="AG771" s="36"/>
      <c r="AH771" s="36"/>
      <c r="AI771" s="36"/>
      <c r="AJ771" s="36"/>
      <c r="A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AF772" s="36"/>
      <c r="AG772" s="36"/>
      <c r="AH772" s="36"/>
      <c r="AI772" s="36"/>
      <c r="AJ772" s="36"/>
      <c r="A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AF773" s="36"/>
      <c r="AG773" s="36"/>
      <c r="AH773" s="36"/>
      <c r="AI773" s="36"/>
      <c r="AJ773" s="36"/>
      <c r="A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AF774" s="36"/>
      <c r="AG774" s="36"/>
      <c r="AH774" s="36"/>
      <c r="AI774" s="36"/>
      <c r="AJ774" s="36"/>
      <c r="A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AF775" s="36"/>
      <c r="AG775" s="36"/>
      <c r="AH775" s="36"/>
      <c r="AI775" s="36"/>
      <c r="AJ775" s="36"/>
      <c r="A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AF776" s="36"/>
      <c r="AG776" s="36"/>
      <c r="AH776" s="36"/>
      <c r="AI776" s="36"/>
      <c r="AJ776" s="36"/>
      <c r="A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AF777" s="36"/>
      <c r="AG777" s="36"/>
      <c r="AH777" s="36"/>
      <c r="AI777" s="36"/>
      <c r="AJ777" s="36"/>
      <c r="A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AF778" s="36"/>
      <c r="AG778" s="36"/>
      <c r="AH778" s="36"/>
      <c r="AI778" s="36"/>
      <c r="AJ778" s="36"/>
      <c r="A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AF779" s="36"/>
      <c r="AG779" s="36"/>
      <c r="AH779" s="36"/>
      <c r="AI779" s="36"/>
      <c r="AJ779" s="36"/>
      <c r="A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AF780" s="36"/>
      <c r="AG780" s="36"/>
      <c r="AH780" s="36"/>
      <c r="AI780" s="36"/>
      <c r="AJ780" s="36"/>
      <c r="A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AF781" s="36"/>
      <c r="AG781" s="36"/>
      <c r="AH781" s="36"/>
      <c r="AI781" s="36"/>
      <c r="AJ781" s="36"/>
      <c r="A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AF782" s="36"/>
      <c r="AG782" s="36"/>
      <c r="AH782" s="36"/>
      <c r="AI782" s="36"/>
      <c r="AJ782" s="36"/>
      <c r="A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AF783" s="36"/>
      <c r="AG783" s="36"/>
      <c r="AH783" s="36"/>
      <c r="AI783" s="36"/>
      <c r="AJ783" s="36"/>
      <c r="A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AF784" s="36"/>
      <c r="AG784" s="36"/>
      <c r="AH784" s="36"/>
      <c r="AI784" s="36"/>
      <c r="AJ784" s="36"/>
      <c r="A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AF785" s="36"/>
      <c r="AG785" s="36"/>
      <c r="AH785" s="36"/>
      <c r="AI785" s="36"/>
      <c r="AJ785" s="36"/>
      <c r="A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AF786" s="36"/>
      <c r="AG786" s="36"/>
      <c r="AH786" s="36"/>
      <c r="AI786" s="36"/>
      <c r="AJ786" s="36"/>
      <c r="A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AF787" s="36"/>
      <c r="AG787" s="36"/>
      <c r="AH787" s="36"/>
      <c r="AI787" s="36"/>
      <c r="AJ787" s="36"/>
      <c r="A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AF788" s="36"/>
      <c r="AG788" s="36"/>
      <c r="AH788" s="36"/>
      <c r="AI788" s="36"/>
      <c r="AJ788" s="36"/>
      <c r="A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AF789" s="36"/>
      <c r="AG789" s="36"/>
      <c r="AH789" s="36"/>
      <c r="AI789" s="36"/>
      <c r="AJ789" s="36"/>
      <c r="A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AF790" s="36"/>
      <c r="AG790" s="36"/>
      <c r="AH790" s="36"/>
      <c r="AI790" s="36"/>
      <c r="AJ790" s="36"/>
      <c r="A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AF791" s="36"/>
      <c r="AG791" s="36"/>
      <c r="AH791" s="36"/>
      <c r="AI791" s="36"/>
      <c r="AJ791" s="36"/>
      <c r="A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AF792" s="36"/>
      <c r="AG792" s="36"/>
      <c r="AH792" s="36"/>
      <c r="AI792" s="36"/>
      <c r="AJ792" s="36"/>
      <c r="A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AF793" s="36"/>
      <c r="AG793" s="36"/>
      <c r="AH793" s="36"/>
      <c r="AI793" s="36"/>
      <c r="AJ793" s="36"/>
      <c r="A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AF794" s="36"/>
      <c r="AG794" s="36"/>
      <c r="AH794" s="36"/>
      <c r="AI794" s="36"/>
      <c r="AJ794" s="36"/>
      <c r="A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AF795" s="36"/>
      <c r="AG795" s="36"/>
      <c r="AH795" s="36"/>
      <c r="AI795" s="36"/>
      <c r="AJ795" s="36"/>
      <c r="A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AF796" s="36"/>
      <c r="AG796" s="36"/>
      <c r="AH796" s="36"/>
      <c r="AI796" s="36"/>
      <c r="AJ796" s="36"/>
      <c r="A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AF797" s="36"/>
      <c r="AG797" s="36"/>
      <c r="AH797" s="36"/>
      <c r="AI797" s="36"/>
      <c r="AJ797" s="36"/>
      <c r="A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AF798" s="36"/>
      <c r="AG798" s="36"/>
      <c r="AH798" s="36"/>
      <c r="AI798" s="36"/>
      <c r="AJ798" s="36"/>
      <c r="A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AF799" s="36"/>
      <c r="AG799" s="36"/>
      <c r="AH799" s="36"/>
      <c r="AI799" s="36"/>
      <c r="AJ799" s="36"/>
      <c r="A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AF800" s="36"/>
      <c r="AG800" s="36"/>
      <c r="AH800" s="36"/>
      <c r="AI800" s="36"/>
      <c r="AJ800" s="36"/>
      <c r="A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AF801" s="36"/>
      <c r="AG801" s="36"/>
      <c r="AH801" s="36"/>
      <c r="AI801" s="36"/>
      <c r="AJ801" s="36"/>
      <c r="A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AF802" s="36"/>
      <c r="AG802" s="36"/>
      <c r="AH802" s="36"/>
      <c r="AI802" s="36"/>
      <c r="AJ802" s="36"/>
      <c r="A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AF803" s="36"/>
      <c r="AG803" s="36"/>
      <c r="AH803" s="36"/>
      <c r="AI803" s="36"/>
      <c r="AJ803" s="36"/>
      <c r="A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AF804" s="36"/>
      <c r="AG804" s="36"/>
      <c r="AH804" s="36"/>
      <c r="AI804" s="36"/>
      <c r="AJ804" s="36"/>
      <c r="A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AF805" s="36"/>
      <c r="AG805" s="36"/>
      <c r="AH805" s="36"/>
      <c r="AI805" s="36"/>
      <c r="AJ805" s="36"/>
      <c r="A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AF806" s="36"/>
      <c r="AG806" s="36"/>
      <c r="AH806" s="36"/>
      <c r="AI806" s="36"/>
      <c r="AJ806" s="36"/>
      <c r="A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AF807" s="36"/>
      <c r="AG807" s="36"/>
      <c r="AH807" s="36"/>
      <c r="AI807" s="36"/>
      <c r="AJ807" s="36"/>
      <c r="A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AF808" s="36"/>
      <c r="AG808" s="36"/>
      <c r="AH808" s="36"/>
      <c r="AI808" s="36"/>
      <c r="AJ808" s="36"/>
      <c r="A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AF809" s="36"/>
      <c r="AG809" s="36"/>
      <c r="AH809" s="36"/>
      <c r="AI809" s="36"/>
      <c r="AJ809" s="36"/>
      <c r="A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AF810" s="36"/>
      <c r="AG810" s="36"/>
      <c r="AH810" s="36"/>
      <c r="AI810" s="36"/>
      <c r="AJ810" s="36"/>
      <c r="A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AF811" s="36"/>
      <c r="AG811" s="36"/>
      <c r="AH811" s="36"/>
      <c r="AI811" s="36"/>
      <c r="AJ811" s="36"/>
      <c r="A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AF812" s="36"/>
      <c r="AG812" s="36"/>
      <c r="AH812" s="36"/>
      <c r="AI812" s="36"/>
      <c r="AJ812" s="36"/>
      <c r="A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AF813" s="36"/>
      <c r="AG813" s="36"/>
      <c r="AH813" s="36"/>
      <c r="AI813" s="36"/>
      <c r="AJ813" s="36"/>
      <c r="A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AF814" s="36"/>
      <c r="AG814" s="36"/>
      <c r="AH814" s="36"/>
      <c r="AI814" s="36"/>
      <c r="AJ814" s="36"/>
      <c r="A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AF815" s="36"/>
      <c r="AG815" s="36"/>
      <c r="AH815" s="36"/>
      <c r="AI815" s="36"/>
      <c r="AJ815" s="36"/>
      <c r="A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AF816" s="36"/>
      <c r="AG816" s="36"/>
      <c r="AH816" s="36"/>
      <c r="AI816" s="36"/>
      <c r="AJ816" s="36"/>
      <c r="A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AF817" s="36"/>
      <c r="AG817" s="36"/>
      <c r="AH817" s="36"/>
      <c r="AI817" s="36"/>
      <c r="AJ817" s="36"/>
      <c r="A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AF818" s="36"/>
      <c r="AG818" s="36"/>
      <c r="AH818" s="36"/>
      <c r="AI818" s="36"/>
      <c r="AJ818" s="36"/>
      <c r="A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AF819" s="36"/>
      <c r="AG819" s="36"/>
      <c r="AH819" s="36"/>
      <c r="AI819" s="36"/>
      <c r="AJ819" s="36"/>
      <c r="A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AF820" s="36"/>
      <c r="AG820" s="36"/>
      <c r="AH820" s="36"/>
      <c r="AI820" s="36"/>
      <c r="AJ820" s="36"/>
      <c r="A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AF821" s="36"/>
      <c r="AG821" s="36"/>
      <c r="AH821" s="36"/>
      <c r="AI821" s="36"/>
      <c r="AJ821" s="36"/>
      <c r="A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AF822" s="36"/>
      <c r="AG822" s="36"/>
      <c r="AH822" s="36"/>
      <c r="AI822" s="36"/>
      <c r="AJ822" s="36"/>
      <c r="A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AF823" s="36"/>
      <c r="AG823" s="36"/>
      <c r="AH823" s="36"/>
      <c r="AI823" s="36"/>
      <c r="AJ823" s="36"/>
      <c r="A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AF824" s="36"/>
      <c r="AG824" s="36"/>
      <c r="AH824" s="36"/>
      <c r="AI824" s="36"/>
      <c r="AJ824" s="36"/>
      <c r="A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AF825" s="36"/>
      <c r="AG825" s="36"/>
      <c r="AH825" s="36"/>
      <c r="AI825" s="36"/>
      <c r="AJ825" s="36"/>
      <c r="A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AF826" s="36"/>
      <c r="AG826" s="36"/>
      <c r="AH826" s="36"/>
      <c r="AI826" s="36"/>
      <c r="AJ826" s="36"/>
      <c r="A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AF827" s="36"/>
      <c r="AG827" s="36"/>
      <c r="AH827" s="36"/>
      <c r="AI827" s="36"/>
      <c r="AJ827" s="36"/>
      <c r="A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AF828" s="36"/>
      <c r="AG828" s="36"/>
      <c r="AH828" s="36"/>
      <c r="AI828" s="36"/>
      <c r="AJ828" s="36"/>
      <c r="A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AF829" s="36"/>
      <c r="AG829" s="36"/>
      <c r="AH829" s="36"/>
      <c r="AI829" s="36"/>
      <c r="AJ829" s="36"/>
      <c r="A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AF830" s="36"/>
      <c r="AG830" s="36"/>
      <c r="AH830" s="36"/>
      <c r="AI830" s="36"/>
      <c r="AJ830" s="36"/>
      <c r="A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AF831" s="36"/>
      <c r="AG831" s="36"/>
      <c r="AH831" s="36"/>
      <c r="AI831" s="36"/>
      <c r="AJ831" s="36"/>
      <c r="A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AF832" s="36"/>
      <c r="AG832" s="36"/>
      <c r="AH832" s="36"/>
      <c r="AI832" s="36"/>
      <c r="AJ832" s="36"/>
      <c r="A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AF833" s="36"/>
      <c r="AG833" s="36"/>
      <c r="AH833" s="36"/>
      <c r="AI833" s="36"/>
      <c r="AJ833" s="36"/>
      <c r="A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AF834" s="36"/>
      <c r="AG834" s="36"/>
      <c r="AH834" s="36"/>
      <c r="AI834" s="36"/>
      <c r="AJ834" s="36"/>
      <c r="A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AF835" s="36"/>
      <c r="AG835" s="36"/>
      <c r="AH835" s="36"/>
      <c r="AI835" s="36"/>
      <c r="AJ835" s="36"/>
      <c r="A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AF836" s="36"/>
      <c r="AG836" s="36"/>
      <c r="AH836" s="36"/>
      <c r="AI836" s="36"/>
      <c r="AJ836" s="36"/>
      <c r="A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AF837" s="36"/>
      <c r="AG837" s="36"/>
      <c r="AH837" s="36"/>
      <c r="AI837" s="36"/>
      <c r="AJ837" s="36"/>
      <c r="A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AF838" s="36"/>
      <c r="AG838" s="36"/>
      <c r="AH838" s="36"/>
      <c r="AI838" s="36"/>
      <c r="AJ838" s="36"/>
      <c r="A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AF839" s="36"/>
      <c r="AG839" s="36"/>
      <c r="AH839" s="36"/>
      <c r="AI839" s="36"/>
      <c r="AJ839" s="36"/>
      <c r="A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AF840" s="36"/>
      <c r="AG840" s="36"/>
      <c r="AH840" s="36"/>
      <c r="AI840" s="36"/>
      <c r="AJ840" s="36"/>
      <c r="A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AF841" s="36"/>
      <c r="AG841" s="36"/>
      <c r="AH841" s="36"/>
      <c r="AI841" s="36"/>
      <c r="AJ841" s="36"/>
      <c r="A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AF842" s="36"/>
      <c r="AG842" s="36"/>
      <c r="AH842" s="36"/>
      <c r="AI842" s="36"/>
      <c r="AJ842" s="36"/>
      <c r="A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AF843" s="36"/>
      <c r="AG843" s="36"/>
      <c r="AH843" s="36"/>
      <c r="AI843" s="36"/>
      <c r="AJ843" s="36"/>
      <c r="A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AF844" s="36"/>
      <c r="AG844" s="36"/>
      <c r="AH844" s="36"/>
      <c r="AI844" s="36"/>
      <c r="AJ844" s="36"/>
      <c r="A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AF845" s="36"/>
      <c r="AG845" s="36"/>
      <c r="AH845" s="36"/>
      <c r="AI845" s="36"/>
      <c r="AJ845" s="36"/>
      <c r="A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AF846" s="36"/>
      <c r="AG846" s="36"/>
      <c r="AH846" s="36"/>
      <c r="AI846" s="36"/>
      <c r="AJ846" s="36"/>
      <c r="A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AF847" s="36"/>
      <c r="AG847" s="36"/>
      <c r="AH847" s="36"/>
      <c r="AI847" s="36"/>
      <c r="AJ847" s="36"/>
      <c r="A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AF848" s="36"/>
      <c r="AG848" s="36"/>
      <c r="AH848" s="36"/>
      <c r="AI848" s="36"/>
      <c r="AJ848" s="36"/>
      <c r="A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AF849" s="36"/>
      <c r="AG849" s="36"/>
      <c r="AH849" s="36"/>
      <c r="AI849" s="36"/>
      <c r="AJ849" s="36"/>
      <c r="A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AF850" s="36"/>
      <c r="AG850" s="36"/>
      <c r="AH850" s="36"/>
      <c r="AI850" s="36"/>
      <c r="AJ850" s="36"/>
      <c r="A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AF851" s="36"/>
      <c r="AG851" s="36"/>
      <c r="AH851" s="36"/>
      <c r="AI851" s="36"/>
      <c r="AJ851" s="36"/>
      <c r="A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AF852" s="36"/>
      <c r="AG852" s="36"/>
      <c r="AH852" s="36"/>
      <c r="AI852" s="36"/>
      <c r="AJ852" s="36"/>
      <c r="A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AF853" s="36"/>
      <c r="AG853" s="36"/>
      <c r="AH853" s="36"/>
      <c r="AI853" s="36"/>
      <c r="AJ853" s="36"/>
      <c r="A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AF854" s="36"/>
      <c r="AG854" s="36"/>
      <c r="AH854" s="36"/>
      <c r="AI854" s="36"/>
      <c r="AJ854" s="36"/>
      <c r="A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AF855" s="36"/>
      <c r="AG855" s="36"/>
      <c r="AH855" s="36"/>
      <c r="AI855" s="36"/>
      <c r="AJ855" s="36"/>
      <c r="A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AF856" s="36"/>
      <c r="AG856" s="36"/>
      <c r="AH856" s="36"/>
      <c r="AI856" s="36"/>
      <c r="AJ856" s="36"/>
      <c r="A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AF857" s="36"/>
      <c r="AG857" s="36"/>
      <c r="AH857" s="36"/>
      <c r="AI857" s="36"/>
      <c r="AJ857" s="36"/>
      <c r="A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AF858" s="36"/>
      <c r="AG858" s="36"/>
      <c r="AH858" s="36"/>
      <c r="AI858" s="36"/>
      <c r="AJ858" s="36"/>
      <c r="A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AF859" s="36"/>
      <c r="AG859" s="36"/>
      <c r="AH859" s="36"/>
      <c r="AI859" s="36"/>
      <c r="AJ859" s="36"/>
      <c r="A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AF860" s="36"/>
      <c r="AG860" s="36"/>
      <c r="AH860" s="36"/>
      <c r="AI860" s="36"/>
      <c r="AJ860" s="36"/>
      <c r="A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AF861" s="36"/>
      <c r="AG861" s="36"/>
      <c r="AH861" s="36"/>
      <c r="AI861" s="36"/>
      <c r="AJ861" s="36"/>
      <c r="A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AF862" s="36"/>
      <c r="AG862" s="36"/>
      <c r="AH862" s="36"/>
      <c r="AI862" s="36"/>
      <c r="AJ862" s="36"/>
      <c r="A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AF863" s="36"/>
      <c r="AG863" s="36"/>
      <c r="AH863" s="36"/>
      <c r="AI863" s="36"/>
      <c r="AJ863" s="36"/>
      <c r="A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AF864" s="36"/>
      <c r="AG864" s="36"/>
      <c r="AH864" s="36"/>
      <c r="AI864" s="36"/>
      <c r="AJ864" s="36"/>
      <c r="A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AF865" s="36"/>
      <c r="AG865" s="36"/>
      <c r="AH865" s="36"/>
      <c r="AI865" s="36"/>
      <c r="AJ865" s="36"/>
      <c r="A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AF866" s="36"/>
      <c r="AG866" s="36"/>
      <c r="AH866" s="36"/>
      <c r="AI866" s="36"/>
      <c r="AJ866" s="36"/>
      <c r="A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AF867" s="36"/>
      <c r="AG867" s="36"/>
      <c r="AH867" s="36"/>
      <c r="AI867" s="36"/>
      <c r="AJ867" s="36"/>
      <c r="A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AF868" s="36"/>
      <c r="AG868" s="36"/>
      <c r="AH868" s="36"/>
      <c r="AI868" s="36"/>
      <c r="AJ868" s="36"/>
      <c r="A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AF869" s="36"/>
      <c r="AG869" s="36"/>
      <c r="AH869" s="36"/>
      <c r="AI869" s="36"/>
      <c r="AJ869" s="36"/>
      <c r="A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AF870" s="36"/>
      <c r="AG870" s="36"/>
      <c r="AH870" s="36"/>
      <c r="AI870" s="36"/>
      <c r="AJ870" s="36"/>
      <c r="A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AF871" s="36"/>
      <c r="AG871" s="36"/>
      <c r="AH871" s="36"/>
      <c r="AI871" s="36"/>
      <c r="AJ871" s="36"/>
      <c r="A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AF872" s="36"/>
      <c r="AG872" s="36"/>
      <c r="AH872" s="36"/>
      <c r="AI872" s="36"/>
      <c r="AJ872" s="36"/>
      <c r="A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AF873" s="36"/>
      <c r="AG873" s="36"/>
      <c r="AH873" s="36"/>
      <c r="AI873" s="36"/>
      <c r="AJ873" s="36"/>
      <c r="A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AF874" s="36"/>
      <c r="AG874" s="36"/>
      <c r="AH874" s="36"/>
      <c r="AI874" s="36"/>
      <c r="AJ874" s="36"/>
      <c r="A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AF875" s="36"/>
      <c r="AG875" s="36"/>
      <c r="AH875" s="36"/>
      <c r="AI875" s="36"/>
      <c r="AJ875" s="36"/>
      <c r="A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AF876" s="36"/>
      <c r="AG876" s="36"/>
      <c r="AH876" s="36"/>
      <c r="AI876" s="36"/>
      <c r="AJ876" s="36"/>
      <c r="A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AF877" s="36"/>
      <c r="AG877" s="36"/>
      <c r="AH877" s="36"/>
      <c r="AI877" s="36"/>
      <c r="AJ877" s="36"/>
      <c r="A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AF878" s="36"/>
      <c r="AG878" s="36"/>
      <c r="AH878" s="36"/>
      <c r="AI878" s="36"/>
      <c r="AJ878" s="36"/>
      <c r="A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AF879" s="36"/>
      <c r="AG879" s="36"/>
      <c r="AH879" s="36"/>
      <c r="AI879" s="36"/>
      <c r="AJ879" s="36"/>
      <c r="A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AF880" s="36"/>
      <c r="AG880" s="36"/>
      <c r="AH880" s="36"/>
      <c r="AI880" s="36"/>
      <c r="AJ880" s="36"/>
      <c r="A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AF881" s="36"/>
      <c r="AG881" s="36"/>
      <c r="AH881" s="36"/>
      <c r="AI881" s="36"/>
      <c r="AJ881" s="36"/>
      <c r="A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AF882" s="36"/>
      <c r="AG882" s="36"/>
      <c r="AH882" s="36"/>
      <c r="AI882" s="36"/>
      <c r="AJ882" s="36"/>
      <c r="A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AF883" s="36"/>
      <c r="AG883" s="36"/>
      <c r="AH883" s="36"/>
      <c r="AI883" s="36"/>
      <c r="AJ883" s="36"/>
      <c r="A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AF884" s="36"/>
      <c r="AG884" s="36"/>
      <c r="AH884" s="36"/>
      <c r="AI884" s="36"/>
      <c r="AJ884" s="36"/>
      <c r="A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AF885" s="36"/>
      <c r="AG885" s="36"/>
      <c r="AH885" s="36"/>
      <c r="AI885" s="36"/>
      <c r="AJ885" s="36"/>
      <c r="A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AF886" s="36"/>
      <c r="AG886" s="36"/>
      <c r="AH886" s="36"/>
      <c r="AI886" s="36"/>
      <c r="AJ886" s="36"/>
      <c r="A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AF887" s="36"/>
      <c r="AG887" s="36"/>
      <c r="AH887" s="36"/>
      <c r="AI887" s="36"/>
      <c r="AJ887" s="36"/>
      <c r="A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AF888" s="36"/>
      <c r="AG888" s="36"/>
      <c r="AH888" s="36"/>
      <c r="AI888" s="36"/>
      <c r="AJ888" s="36"/>
      <c r="A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AF889" s="36"/>
      <c r="AG889" s="36"/>
      <c r="AH889" s="36"/>
      <c r="AI889" s="36"/>
      <c r="AJ889" s="36"/>
      <c r="A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AF890" s="36"/>
      <c r="AG890" s="36"/>
      <c r="AH890" s="36"/>
      <c r="AI890" s="36"/>
      <c r="AJ890" s="36"/>
      <c r="A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AF891" s="36"/>
      <c r="AG891" s="36"/>
      <c r="AH891" s="36"/>
      <c r="AI891" s="36"/>
      <c r="AJ891" s="36"/>
      <c r="A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AF892" s="36"/>
      <c r="AG892" s="36"/>
      <c r="AH892" s="36"/>
      <c r="AI892" s="36"/>
      <c r="AJ892" s="36"/>
      <c r="A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AF893" s="36"/>
      <c r="AG893" s="36"/>
      <c r="AH893" s="36"/>
      <c r="AI893" s="36"/>
      <c r="AJ893" s="36"/>
      <c r="A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AF894" s="36"/>
      <c r="AG894" s="36"/>
      <c r="AH894" s="36"/>
      <c r="AI894" s="36"/>
      <c r="AJ894" s="36"/>
      <c r="A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AF895" s="36"/>
      <c r="AG895" s="36"/>
      <c r="AH895" s="36"/>
      <c r="AI895" s="36"/>
      <c r="AJ895" s="36"/>
      <c r="A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AF896" s="36"/>
      <c r="AG896" s="36"/>
      <c r="AH896" s="36"/>
      <c r="AI896" s="36"/>
      <c r="AJ896" s="36"/>
      <c r="A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AF897" s="36"/>
      <c r="AG897" s="36"/>
      <c r="AH897" s="36"/>
      <c r="AI897" s="36"/>
      <c r="AJ897" s="36"/>
      <c r="A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AF898" s="36"/>
      <c r="AG898" s="36"/>
      <c r="AH898" s="36"/>
      <c r="AI898" s="36"/>
      <c r="AJ898" s="36"/>
      <c r="A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AF899" s="36"/>
      <c r="AG899" s="36"/>
      <c r="AH899" s="36"/>
      <c r="AI899" s="36"/>
      <c r="AJ899" s="36"/>
      <c r="A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AF900" s="36"/>
      <c r="AG900" s="36"/>
      <c r="AH900" s="36"/>
      <c r="AI900" s="36"/>
      <c r="AJ900" s="36"/>
      <c r="A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AF901" s="36"/>
      <c r="AG901" s="36"/>
      <c r="AH901" s="36"/>
      <c r="AI901" s="36"/>
      <c r="AJ901" s="36"/>
      <c r="A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AF902" s="36"/>
      <c r="AG902" s="36"/>
      <c r="AH902" s="36"/>
      <c r="AI902" s="36"/>
      <c r="AJ902" s="36"/>
      <c r="A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AF903" s="36"/>
      <c r="AG903" s="36"/>
      <c r="AH903" s="36"/>
      <c r="AI903" s="36"/>
      <c r="AJ903" s="36"/>
      <c r="A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AF904" s="36"/>
      <c r="AG904" s="36"/>
      <c r="AH904" s="36"/>
      <c r="AI904" s="36"/>
      <c r="AJ904" s="36"/>
      <c r="A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AF905" s="36"/>
      <c r="AG905" s="36"/>
      <c r="AH905" s="36"/>
      <c r="AI905" s="36"/>
      <c r="AJ905" s="36"/>
      <c r="A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AF906" s="36"/>
      <c r="AG906" s="36"/>
      <c r="AH906" s="36"/>
      <c r="AI906" s="36"/>
      <c r="AJ906" s="36"/>
      <c r="A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AF907" s="36"/>
      <c r="AG907" s="36"/>
      <c r="AH907" s="36"/>
      <c r="AI907" s="36"/>
      <c r="AJ907" s="36"/>
      <c r="A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AF908" s="36"/>
      <c r="AG908" s="36"/>
      <c r="AH908" s="36"/>
      <c r="AI908" s="36"/>
      <c r="AJ908" s="36"/>
      <c r="A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AF909" s="36"/>
      <c r="AG909" s="36"/>
      <c r="AH909" s="36"/>
      <c r="AI909" s="36"/>
      <c r="AJ909" s="36"/>
      <c r="A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AF910" s="36"/>
      <c r="AG910" s="36"/>
      <c r="AH910" s="36"/>
      <c r="AI910" s="36"/>
      <c r="AJ910" s="36"/>
      <c r="A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AF911" s="36"/>
      <c r="AG911" s="36"/>
      <c r="AH911" s="36"/>
      <c r="AI911" s="36"/>
      <c r="AJ911" s="36"/>
      <c r="A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AF912" s="36"/>
      <c r="AG912" s="36"/>
      <c r="AH912" s="36"/>
      <c r="AI912" s="36"/>
      <c r="AJ912" s="36"/>
      <c r="A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AF913" s="36"/>
      <c r="AG913" s="36"/>
      <c r="AH913" s="36"/>
      <c r="AI913" s="36"/>
      <c r="AJ913" s="36"/>
      <c r="A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AF914" s="36"/>
      <c r="AG914" s="36"/>
      <c r="AH914" s="36"/>
      <c r="AI914" s="36"/>
      <c r="AJ914" s="36"/>
      <c r="A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AF915" s="36"/>
      <c r="AG915" s="36"/>
      <c r="AH915" s="36"/>
      <c r="AI915" s="36"/>
      <c r="AJ915" s="36"/>
      <c r="A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AF916" s="36"/>
      <c r="AG916" s="36"/>
      <c r="AH916" s="36"/>
      <c r="AI916" s="36"/>
      <c r="AJ916" s="36"/>
      <c r="A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AF917" s="36"/>
      <c r="AG917" s="36"/>
      <c r="AH917" s="36"/>
      <c r="AI917" s="36"/>
      <c r="AJ917" s="36"/>
      <c r="A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AF918" s="36"/>
      <c r="AG918" s="36"/>
      <c r="AH918" s="36"/>
      <c r="AI918" s="36"/>
      <c r="AJ918" s="36"/>
      <c r="A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AF919" s="36"/>
      <c r="AG919" s="36"/>
      <c r="AH919" s="36"/>
      <c r="AI919" s="36"/>
      <c r="AJ919" s="36"/>
      <c r="A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AF920" s="36"/>
      <c r="AG920" s="36"/>
      <c r="AH920" s="36"/>
      <c r="AI920" s="36"/>
      <c r="AJ920" s="36"/>
      <c r="A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AF921" s="36"/>
      <c r="AG921" s="36"/>
      <c r="AH921" s="36"/>
      <c r="AI921" s="36"/>
      <c r="AJ921" s="36"/>
      <c r="A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AF922" s="36"/>
      <c r="AG922" s="36"/>
      <c r="AH922" s="36"/>
      <c r="AI922" s="36"/>
      <c r="AJ922" s="36"/>
      <c r="A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AF923" s="36"/>
      <c r="AG923" s="36"/>
      <c r="AH923" s="36"/>
      <c r="AI923" s="36"/>
      <c r="AJ923" s="36"/>
      <c r="A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AF924" s="36"/>
      <c r="AG924" s="36"/>
      <c r="AH924" s="36"/>
      <c r="AI924" s="36"/>
      <c r="AJ924" s="36"/>
      <c r="A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AF925" s="36"/>
      <c r="AG925" s="36"/>
      <c r="AH925" s="36"/>
      <c r="AI925" s="36"/>
      <c r="AJ925" s="36"/>
      <c r="A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AF926" s="36"/>
      <c r="AG926" s="36"/>
      <c r="AH926" s="36"/>
      <c r="AI926" s="36"/>
      <c r="AJ926" s="36"/>
      <c r="A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AF927" s="36"/>
      <c r="AG927" s="36"/>
      <c r="AH927" s="36"/>
      <c r="AI927" s="36"/>
      <c r="AJ927" s="36"/>
      <c r="A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AF928" s="36"/>
      <c r="AG928" s="36"/>
      <c r="AH928" s="36"/>
      <c r="AI928" s="36"/>
      <c r="AJ928" s="36"/>
      <c r="A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AF929" s="36"/>
      <c r="AG929" s="36"/>
      <c r="AH929" s="36"/>
      <c r="AI929" s="36"/>
      <c r="AJ929" s="36"/>
      <c r="A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AF930" s="36"/>
      <c r="AG930" s="36"/>
      <c r="AH930" s="36"/>
      <c r="AI930" s="36"/>
      <c r="AJ930" s="36"/>
      <c r="A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AF931" s="36"/>
      <c r="AG931" s="36"/>
      <c r="AH931" s="36"/>
      <c r="AI931" s="36"/>
      <c r="AJ931" s="36"/>
      <c r="A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AF932" s="36"/>
      <c r="AG932" s="36"/>
      <c r="AH932" s="36"/>
      <c r="AI932" s="36"/>
      <c r="AJ932" s="36"/>
      <c r="A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AF933" s="36"/>
      <c r="AG933" s="36"/>
      <c r="AH933" s="36"/>
      <c r="AI933" s="36"/>
      <c r="AJ933" s="36"/>
      <c r="A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AF934" s="36"/>
      <c r="AG934" s="36"/>
      <c r="AH934" s="36"/>
      <c r="AI934" s="36"/>
      <c r="AJ934" s="36"/>
      <c r="A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AF935" s="36"/>
      <c r="AG935" s="36"/>
      <c r="AH935" s="36"/>
      <c r="AI935" s="36"/>
      <c r="AJ935" s="36"/>
      <c r="A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AF936" s="36"/>
      <c r="AG936" s="36"/>
      <c r="AH936" s="36"/>
      <c r="AI936" s="36"/>
      <c r="AJ936" s="36"/>
      <c r="A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AF937" s="36"/>
      <c r="AG937" s="36"/>
      <c r="AH937" s="36"/>
      <c r="AI937" s="36"/>
      <c r="AJ937" s="36"/>
      <c r="A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AF938" s="36"/>
      <c r="AG938" s="36"/>
      <c r="AH938" s="36"/>
      <c r="AI938" s="36"/>
      <c r="AJ938" s="36"/>
      <c r="A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AF939" s="36"/>
      <c r="AG939" s="36"/>
      <c r="AH939" s="36"/>
      <c r="AI939" s="36"/>
      <c r="AJ939" s="36"/>
      <c r="A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AF940" s="36"/>
      <c r="AG940" s="36"/>
      <c r="AH940" s="36"/>
      <c r="AI940" s="36"/>
      <c r="AJ940" s="36"/>
      <c r="A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AF941" s="36"/>
      <c r="AG941" s="36"/>
      <c r="AH941" s="36"/>
      <c r="AI941" s="36"/>
      <c r="AJ941" s="36"/>
      <c r="A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AF942" s="36"/>
      <c r="AG942" s="36"/>
      <c r="AH942" s="36"/>
      <c r="AI942" s="36"/>
      <c r="AJ942" s="36"/>
      <c r="A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AF943" s="36"/>
      <c r="AG943" s="36"/>
      <c r="AH943" s="36"/>
      <c r="AI943" s="36"/>
      <c r="AJ943" s="36"/>
      <c r="A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AF944" s="36"/>
      <c r="AG944" s="36"/>
      <c r="AH944" s="36"/>
      <c r="AI944" s="36"/>
      <c r="AJ944" s="36"/>
      <c r="A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AF945" s="36"/>
      <c r="AG945" s="36"/>
      <c r="AH945" s="36"/>
      <c r="AI945" s="36"/>
      <c r="AJ945" s="36"/>
      <c r="A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AF946" s="36"/>
      <c r="AG946" s="36"/>
      <c r="AH946" s="36"/>
      <c r="AI946" s="36"/>
      <c r="AJ946" s="36"/>
      <c r="A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AF947" s="36"/>
      <c r="AG947" s="36"/>
      <c r="AH947" s="36"/>
      <c r="AI947" s="36"/>
      <c r="AJ947" s="36"/>
      <c r="A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AF948" s="36"/>
      <c r="AG948" s="36"/>
      <c r="AH948" s="36"/>
      <c r="AI948" s="36"/>
      <c r="AJ948" s="36"/>
      <c r="A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AF949" s="36"/>
      <c r="AG949" s="36"/>
      <c r="AH949" s="36"/>
      <c r="AI949" s="36"/>
      <c r="AJ949" s="36"/>
      <c r="A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AF950" s="36"/>
      <c r="AG950" s="36"/>
      <c r="AH950" s="36"/>
      <c r="AI950" s="36"/>
      <c r="AJ950" s="36"/>
      <c r="A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AF951" s="36"/>
      <c r="AG951" s="36"/>
      <c r="AH951" s="36"/>
      <c r="AI951" s="36"/>
      <c r="AJ951" s="36"/>
      <c r="A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AF952" s="36"/>
      <c r="AG952" s="36"/>
      <c r="AH952" s="36"/>
      <c r="AI952" s="36"/>
      <c r="AJ952" s="36"/>
      <c r="A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AF953" s="36"/>
      <c r="AG953" s="36"/>
      <c r="AH953" s="36"/>
      <c r="AI953" s="36"/>
      <c r="AJ953" s="36"/>
      <c r="A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AF954" s="36"/>
      <c r="AG954" s="36"/>
      <c r="AH954" s="36"/>
      <c r="AI954" s="36"/>
      <c r="AJ954" s="36"/>
      <c r="A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AF955" s="36"/>
      <c r="AG955" s="36"/>
      <c r="AH955" s="36"/>
      <c r="AI955" s="36"/>
      <c r="AJ955" s="36"/>
      <c r="A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AF956" s="36"/>
      <c r="AG956" s="36"/>
      <c r="AH956" s="36"/>
      <c r="AI956" s="36"/>
      <c r="AJ956" s="36"/>
      <c r="A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AF957" s="36"/>
      <c r="AG957" s="36"/>
      <c r="AH957" s="36"/>
      <c r="AI957" s="36"/>
      <c r="AJ957" s="36"/>
      <c r="A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AF958" s="36"/>
      <c r="AG958" s="36"/>
      <c r="AH958" s="36"/>
      <c r="AI958" s="36"/>
      <c r="AJ958" s="36"/>
      <c r="A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AF959" s="36"/>
      <c r="AG959" s="36"/>
      <c r="AH959" s="36"/>
      <c r="AI959" s="36"/>
      <c r="AJ959" s="36"/>
      <c r="A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AF960" s="36"/>
      <c r="AG960" s="36"/>
      <c r="AH960" s="36"/>
      <c r="AI960" s="36"/>
      <c r="AJ960" s="36"/>
      <c r="A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AF961" s="36"/>
      <c r="AG961" s="36"/>
      <c r="AH961" s="36"/>
      <c r="AI961" s="36"/>
      <c r="AJ961" s="36"/>
      <c r="A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AF962" s="36"/>
      <c r="AG962" s="36"/>
      <c r="AH962" s="36"/>
      <c r="AI962" s="36"/>
      <c r="AJ962" s="36"/>
      <c r="A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AF963" s="36"/>
      <c r="AG963" s="36"/>
      <c r="AH963" s="36"/>
      <c r="AI963" s="36"/>
      <c r="AJ963" s="36"/>
      <c r="A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AF964" s="36"/>
      <c r="AG964" s="36"/>
      <c r="AH964" s="36"/>
      <c r="AI964" s="36"/>
      <c r="AJ964" s="36"/>
      <c r="A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AF965" s="36"/>
      <c r="AG965" s="36"/>
      <c r="AH965" s="36"/>
      <c r="AI965" s="36"/>
      <c r="AJ965" s="36"/>
      <c r="A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AF966" s="36"/>
      <c r="AG966" s="36"/>
      <c r="AH966" s="36"/>
      <c r="AI966" s="36"/>
      <c r="AJ966" s="36"/>
      <c r="A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AF967" s="36"/>
      <c r="AG967" s="36"/>
      <c r="AH967" s="36"/>
      <c r="AI967" s="36"/>
      <c r="AJ967" s="36"/>
      <c r="A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AF968" s="36"/>
      <c r="AG968" s="36"/>
      <c r="AH968" s="36"/>
      <c r="AI968" s="36"/>
      <c r="AJ968" s="36"/>
      <c r="A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AF969" s="36"/>
      <c r="AG969" s="36"/>
      <c r="AH969" s="36"/>
      <c r="AI969" s="36"/>
      <c r="AJ969" s="36"/>
      <c r="A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AF970" s="36"/>
      <c r="AG970" s="36"/>
      <c r="AH970" s="36"/>
      <c r="AI970" s="36"/>
      <c r="AJ970" s="36"/>
      <c r="A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AF971" s="36"/>
      <c r="AG971" s="36"/>
      <c r="AH971" s="36"/>
      <c r="AI971" s="36"/>
      <c r="AJ971" s="36"/>
      <c r="A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AF972" s="36"/>
      <c r="AG972" s="36"/>
      <c r="AH972" s="36"/>
      <c r="AI972" s="36"/>
      <c r="AJ972" s="36"/>
      <c r="A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AF973" s="36"/>
      <c r="AG973" s="36"/>
      <c r="AH973" s="36"/>
      <c r="AI973" s="36"/>
      <c r="AJ973" s="36"/>
      <c r="A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AF974" s="36"/>
      <c r="AG974" s="36"/>
      <c r="AH974" s="36"/>
      <c r="AI974" s="36"/>
      <c r="AJ974" s="36"/>
      <c r="A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AF975" s="36"/>
      <c r="AG975" s="36"/>
      <c r="AH975" s="36"/>
      <c r="AI975" s="36"/>
      <c r="AJ975" s="36"/>
      <c r="A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AF976" s="36"/>
      <c r="AG976" s="36"/>
      <c r="AH976" s="36"/>
      <c r="AI976" s="36"/>
      <c r="AJ976" s="36"/>
      <c r="A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AF977" s="36"/>
      <c r="AG977" s="36"/>
      <c r="AH977" s="36"/>
      <c r="AI977" s="36"/>
      <c r="AJ977" s="36"/>
      <c r="A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AF978" s="36"/>
      <c r="AG978" s="36"/>
      <c r="AH978" s="36"/>
      <c r="AI978" s="36"/>
      <c r="AJ978" s="36"/>
      <c r="A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AF979" s="36"/>
      <c r="AG979" s="36"/>
      <c r="AH979" s="36"/>
      <c r="AI979" s="36"/>
      <c r="AJ979" s="36"/>
      <c r="A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AF980" s="36"/>
      <c r="AG980" s="36"/>
      <c r="AH980" s="36"/>
      <c r="AI980" s="36"/>
      <c r="AJ980" s="36"/>
      <c r="A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AF981" s="36"/>
      <c r="AG981" s="36"/>
      <c r="AH981" s="36"/>
      <c r="AI981" s="36"/>
      <c r="AJ981" s="36"/>
      <c r="A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AF982" s="36"/>
      <c r="AG982" s="36"/>
      <c r="AH982" s="36"/>
      <c r="AI982" s="36"/>
      <c r="AJ982" s="36"/>
      <c r="A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AF983" s="36"/>
      <c r="AG983" s="36"/>
      <c r="AH983" s="36"/>
      <c r="AI983" s="36"/>
      <c r="AJ983" s="36"/>
      <c r="A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AF984" s="36"/>
      <c r="AG984" s="36"/>
      <c r="AH984" s="36"/>
      <c r="AI984" s="36"/>
      <c r="AJ984" s="36"/>
      <c r="A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AF985" s="36"/>
      <c r="AG985" s="36"/>
      <c r="AH985" s="36"/>
      <c r="AI985" s="36"/>
      <c r="AJ985" s="36"/>
      <c r="A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AF986" s="36"/>
      <c r="AG986" s="36"/>
      <c r="AH986" s="36"/>
      <c r="AI986" s="36"/>
      <c r="AJ986" s="36"/>
      <c r="A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AF987" s="36"/>
      <c r="AG987" s="36"/>
      <c r="AH987" s="36"/>
      <c r="AI987" s="36"/>
      <c r="AJ987" s="36"/>
      <c r="A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AF988" s="36"/>
      <c r="AG988" s="36"/>
      <c r="AH988" s="36"/>
      <c r="AI988" s="36"/>
      <c r="AJ988" s="36"/>
      <c r="A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AF989" s="36"/>
      <c r="AG989" s="36"/>
      <c r="AH989" s="36"/>
      <c r="AI989" s="36"/>
      <c r="AJ989" s="36"/>
      <c r="A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AF990" s="36"/>
      <c r="AG990" s="36"/>
      <c r="AH990" s="36"/>
      <c r="AI990" s="36"/>
      <c r="AJ990" s="36"/>
      <c r="A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AF991" s="36"/>
      <c r="AG991" s="36"/>
      <c r="AH991" s="36"/>
      <c r="AI991" s="36"/>
      <c r="AJ991" s="36"/>
      <c r="A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AF992" s="36"/>
      <c r="AG992" s="36"/>
      <c r="AH992" s="36"/>
      <c r="AI992" s="36"/>
      <c r="AJ992" s="36"/>
      <c r="A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AF993" s="36"/>
      <c r="AG993" s="36"/>
      <c r="AH993" s="36"/>
      <c r="AI993" s="36"/>
      <c r="AJ993" s="36"/>
      <c r="A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AF994" s="36"/>
      <c r="AG994" s="36"/>
      <c r="AH994" s="36"/>
      <c r="AI994" s="36"/>
      <c r="AJ994" s="36"/>
      <c r="A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AF995" s="36"/>
      <c r="AG995" s="36"/>
      <c r="AH995" s="36"/>
      <c r="AI995" s="36"/>
      <c r="AJ995" s="36"/>
      <c r="A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AF996" s="36"/>
      <c r="AG996" s="36"/>
      <c r="AH996" s="36"/>
      <c r="AI996" s="36"/>
      <c r="AJ996" s="36"/>
      <c r="A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AF997" s="36"/>
      <c r="AG997" s="36"/>
      <c r="AH997" s="36"/>
      <c r="AI997" s="36"/>
      <c r="AJ997" s="36"/>
      <c r="A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AF998" s="36"/>
      <c r="AG998" s="36"/>
      <c r="AH998" s="36"/>
      <c r="AI998" s="36"/>
      <c r="AJ998" s="36"/>
      <c r="A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AF999" s="36"/>
      <c r="AG999" s="36"/>
      <c r="AH999" s="36"/>
      <c r="AI999" s="36"/>
      <c r="AJ999" s="36"/>
      <c r="A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AF1000" s="36"/>
      <c r="AG1000" s="36"/>
      <c r="AH1000" s="36"/>
      <c r="AI1000" s="36"/>
      <c r="AJ1000" s="36"/>
      <c r="AK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AF1001" s="36"/>
      <c r="AG1001" s="36"/>
      <c r="AH1001" s="36"/>
      <c r="AI1001" s="36"/>
      <c r="AJ1001" s="36"/>
      <c r="AK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AF1002" s="36"/>
      <c r="AG1002" s="36"/>
      <c r="AH1002" s="36"/>
      <c r="AI1002" s="36"/>
      <c r="AJ1002" s="36"/>
      <c r="AK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AF1003" s="36"/>
      <c r="AG1003" s="36"/>
      <c r="AH1003" s="36"/>
      <c r="AI1003" s="36"/>
      <c r="AJ1003" s="36"/>
      <c r="AK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AF1004" s="36"/>
      <c r="AG1004" s="36"/>
      <c r="AH1004" s="36"/>
      <c r="AI1004" s="36"/>
      <c r="AJ1004" s="36"/>
      <c r="AK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AF1005" s="36"/>
      <c r="AG1005" s="36"/>
      <c r="AH1005" s="36"/>
      <c r="AI1005" s="36"/>
      <c r="AJ1005" s="36"/>
      <c r="AK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AF1006" s="36"/>
      <c r="AG1006" s="36"/>
      <c r="AH1006" s="36"/>
      <c r="AI1006" s="36"/>
      <c r="AJ1006" s="36"/>
      <c r="AK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AF1007" s="36"/>
      <c r="AG1007" s="36"/>
      <c r="AH1007" s="36"/>
      <c r="AI1007" s="36"/>
      <c r="AJ1007" s="36"/>
      <c r="AK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AF1008" s="36"/>
      <c r="AG1008" s="36"/>
      <c r="AH1008" s="36"/>
      <c r="AI1008" s="36"/>
      <c r="AJ1008" s="36"/>
      <c r="AK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AF1009" s="36"/>
      <c r="AG1009" s="36"/>
      <c r="AH1009" s="36"/>
      <c r="AI1009" s="36"/>
      <c r="AJ1009" s="36"/>
      <c r="AK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AF1010" s="36"/>
      <c r="AG1010" s="36"/>
      <c r="AH1010" s="36"/>
      <c r="AI1010" s="36"/>
      <c r="AJ1010" s="36"/>
      <c r="AK1010" s="36"/>
    </row>
    <row r="101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AF1011" s="36"/>
      <c r="AG1011" s="36"/>
      <c r="AH1011" s="36"/>
      <c r="AI1011" s="36"/>
      <c r="AJ1011" s="36"/>
      <c r="AK1011" s="36"/>
    </row>
    <row r="1012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AF1012" s="36"/>
      <c r="AG1012" s="36"/>
      <c r="AH1012" s="36"/>
      <c r="AI1012" s="36"/>
      <c r="AJ1012" s="36"/>
      <c r="AK1012" s="36"/>
    </row>
    <row r="1013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AF1013" s="36"/>
      <c r="AG1013" s="36"/>
      <c r="AH1013" s="36"/>
      <c r="AI1013" s="36"/>
      <c r="AJ1013" s="36"/>
      <c r="AK1013" s="36"/>
    </row>
    <row r="1014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AF1014" s="36"/>
      <c r="AG1014" s="36"/>
      <c r="AH1014" s="36"/>
      <c r="AI1014" s="36"/>
      <c r="AJ1014" s="36"/>
      <c r="AK1014" s="36"/>
    </row>
    <row r="1015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AF1015" s="36"/>
      <c r="AG1015" s="36"/>
      <c r="AH1015" s="36"/>
      <c r="AI1015" s="36"/>
      <c r="AJ1015" s="36"/>
      <c r="AK1015" s="36"/>
    </row>
    <row r="1016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AF1016" s="36"/>
      <c r="AG1016" s="36"/>
      <c r="AH1016" s="36"/>
      <c r="AI1016" s="36"/>
      <c r="AJ1016" s="36"/>
      <c r="AK1016" s="36"/>
    </row>
    <row r="1017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AF1017" s="36"/>
      <c r="AG1017" s="36"/>
      <c r="AH1017" s="36"/>
      <c r="AI1017" s="36"/>
      <c r="AJ1017" s="36"/>
      <c r="AK1017" s="36"/>
    </row>
    <row r="1018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AF1018" s="36"/>
      <c r="AG1018" s="36"/>
      <c r="AH1018" s="36"/>
      <c r="AI1018" s="36"/>
      <c r="AJ1018" s="36"/>
      <c r="AK1018" s="36"/>
    </row>
    <row r="1019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AF1019" s="36"/>
      <c r="AG1019" s="36"/>
      <c r="AH1019" s="36"/>
      <c r="AI1019" s="36"/>
      <c r="AJ1019" s="36"/>
      <c r="AK1019" s="36"/>
    </row>
  </sheetData>
  <mergeCells count="96">
    <mergeCell ref="P41:Q41"/>
    <mergeCell ref="R41:S41"/>
    <mergeCell ref="T41:U41"/>
    <mergeCell ref="V41:W41"/>
    <mergeCell ref="X41:Y41"/>
    <mergeCell ref="Z41:AA41"/>
    <mergeCell ref="AB41:AC41"/>
    <mergeCell ref="AD41:AE41"/>
    <mergeCell ref="B41:C41"/>
    <mergeCell ref="D41:E41"/>
    <mergeCell ref="F41:G41"/>
    <mergeCell ref="H41:I41"/>
    <mergeCell ref="J41:K41"/>
    <mergeCell ref="L41:M41"/>
    <mergeCell ref="N41:O41"/>
    <mergeCell ref="P47:Q47"/>
    <mergeCell ref="R47:S47"/>
    <mergeCell ref="T47:U47"/>
    <mergeCell ref="V47:W47"/>
    <mergeCell ref="X47:Y47"/>
    <mergeCell ref="Z47:AA47"/>
    <mergeCell ref="AB47:AC47"/>
    <mergeCell ref="AD47:AE47"/>
    <mergeCell ref="B47:C47"/>
    <mergeCell ref="D47:E47"/>
    <mergeCell ref="F47:G47"/>
    <mergeCell ref="H47:I47"/>
    <mergeCell ref="J47:K47"/>
    <mergeCell ref="L47:M47"/>
    <mergeCell ref="N47:O47"/>
    <mergeCell ref="P53:Q53"/>
    <mergeCell ref="R53:S53"/>
    <mergeCell ref="T53:U53"/>
    <mergeCell ref="V53:W53"/>
    <mergeCell ref="X53:Y53"/>
    <mergeCell ref="Z53:AA53"/>
    <mergeCell ref="AB53:AC53"/>
    <mergeCell ref="AD53:AE53"/>
    <mergeCell ref="B56:D56"/>
    <mergeCell ref="E56:G56"/>
    <mergeCell ref="H56:J56"/>
    <mergeCell ref="K56:M56"/>
    <mergeCell ref="N56:P56"/>
    <mergeCell ref="B53:C53"/>
    <mergeCell ref="D53:E53"/>
    <mergeCell ref="F53:G53"/>
    <mergeCell ref="H53:I53"/>
    <mergeCell ref="J53:K53"/>
    <mergeCell ref="L53:M53"/>
    <mergeCell ref="N53:O53"/>
    <mergeCell ref="AA2:AB2"/>
    <mergeCell ref="AC2:AD2"/>
    <mergeCell ref="B1:D1"/>
    <mergeCell ref="E1:G1"/>
    <mergeCell ref="H1:J1"/>
    <mergeCell ref="K1:M1"/>
    <mergeCell ref="N1:P1"/>
    <mergeCell ref="Y1:AD1"/>
    <mergeCell ref="U2:V2"/>
    <mergeCell ref="W2:X2"/>
    <mergeCell ref="Y2:Z2"/>
    <mergeCell ref="B28:G28"/>
    <mergeCell ref="H28:M28"/>
    <mergeCell ref="N28:S28"/>
    <mergeCell ref="T28:Y28"/>
    <mergeCell ref="Z28:AE28"/>
    <mergeCell ref="P29:Q29"/>
    <mergeCell ref="R29:S29"/>
    <mergeCell ref="T29:U29"/>
    <mergeCell ref="V29:W29"/>
    <mergeCell ref="X29:Y29"/>
    <mergeCell ref="Z29:AA29"/>
    <mergeCell ref="AB29:AC29"/>
    <mergeCell ref="AD29:AE29"/>
    <mergeCell ref="B29:C29"/>
    <mergeCell ref="D29:E29"/>
    <mergeCell ref="F29:G29"/>
    <mergeCell ref="H29:I29"/>
    <mergeCell ref="J29:K29"/>
    <mergeCell ref="L29:M29"/>
    <mergeCell ref="N29:O29"/>
    <mergeCell ref="P35:Q35"/>
    <mergeCell ref="R35:S35"/>
    <mergeCell ref="T35:U35"/>
    <mergeCell ref="V35:W35"/>
    <mergeCell ref="X35:Y35"/>
    <mergeCell ref="Z35:AA35"/>
    <mergeCell ref="AB35:AC35"/>
    <mergeCell ref="AD35:AE35"/>
    <mergeCell ref="B35:C35"/>
    <mergeCell ref="D35:E35"/>
    <mergeCell ref="F35:G35"/>
    <mergeCell ref="H35:I35"/>
    <mergeCell ref="J35:K35"/>
    <mergeCell ref="L35:M35"/>
    <mergeCell ref="N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0.0"/>
    <col customWidth="1" min="3" max="3" width="25.75"/>
    <col customWidth="1" min="4" max="4" width="19.13"/>
    <col customWidth="1" min="5" max="5" width="5.13"/>
    <col customWidth="1" min="6" max="6" width="30.13"/>
    <col customWidth="1" min="7" max="7" width="23.38"/>
    <col customWidth="1" min="8" max="8" width="5.13"/>
    <col customWidth="1" min="9" max="9" width="28.63"/>
    <col customWidth="1" min="10" max="10" width="21.88"/>
    <col customWidth="1" min="11" max="11" width="5.13"/>
  </cols>
  <sheetData>
    <row r="1">
      <c r="A1" s="113" t="s">
        <v>154</v>
      </c>
      <c r="B1" s="114" t="s">
        <v>155</v>
      </c>
      <c r="C1" s="114" t="s">
        <v>156</v>
      </c>
      <c r="D1" s="114" t="s">
        <v>157</v>
      </c>
      <c r="E1" s="114" t="s">
        <v>158</v>
      </c>
      <c r="F1" s="114" t="s">
        <v>159</v>
      </c>
      <c r="G1" s="114" t="s">
        <v>160</v>
      </c>
      <c r="H1" s="114" t="s">
        <v>158</v>
      </c>
      <c r="I1" s="114" t="s">
        <v>161</v>
      </c>
      <c r="J1" s="114" t="s">
        <v>162</v>
      </c>
      <c r="K1" s="114" t="s">
        <v>158</v>
      </c>
    </row>
    <row r="2">
      <c r="A2" s="115" t="s">
        <v>1</v>
      </c>
      <c r="B2" s="94">
        <v>4096.0</v>
      </c>
      <c r="C2" s="94" t="s">
        <v>163</v>
      </c>
      <c r="D2" s="94">
        <v>1624.0</v>
      </c>
      <c r="E2" s="94" t="s">
        <v>164</v>
      </c>
      <c r="F2" s="94" t="s">
        <v>165</v>
      </c>
      <c r="G2" s="94">
        <v>1638.0</v>
      </c>
      <c r="H2" s="94" t="s">
        <v>166</v>
      </c>
      <c r="I2" s="94" t="s">
        <v>167</v>
      </c>
      <c r="J2" s="94">
        <v>1632.0</v>
      </c>
      <c r="K2" s="94" t="s">
        <v>168</v>
      </c>
    </row>
    <row r="3">
      <c r="A3" s="116"/>
      <c r="B3" s="94">
        <v>8192.0</v>
      </c>
      <c r="C3" s="117">
        <v>45343.0</v>
      </c>
      <c r="D3" s="118">
        <v>814.0</v>
      </c>
      <c r="E3" s="94" t="s">
        <v>168</v>
      </c>
      <c r="F3" s="94" t="s">
        <v>169</v>
      </c>
      <c r="G3" s="94">
        <v>826.0</v>
      </c>
      <c r="H3" s="94" t="s">
        <v>166</v>
      </c>
      <c r="I3" s="119">
        <v>45647.0</v>
      </c>
      <c r="J3" s="94">
        <v>818.0</v>
      </c>
      <c r="K3" s="94" t="s">
        <v>168</v>
      </c>
    </row>
    <row r="4">
      <c r="A4" s="120"/>
      <c r="B4" s="94">
        <v>16384.0</v>
      </c>
      <c r="C4" s="94" t="s">
        <v>170</v>
      </c>
      <c r="D4" s="94">
        <v>408.0</v>
      </c>
      <c r="E4" s="94" t="s">
        <v>171</v>
      </c>
      <c r="F4" s="94" t="s">
        <v>172</v>
      </c>
      <c r="G4" s="94">
        <v>420.0</v>
      </c>
      <c r="H4" s="94" t="s">
        <v>173</v>
      </c>
      <c r="I4" s="94" t="s">
        <v>174</v>
      </c>
      <c r="J4" s="94">
        <v>412.0</v>
      </c>
      <c r="K4" s="94" t="s">
        <v>175</v>
      </c>
    </row>
    <row r="5">
      <c r="A5" s="121" t="s">
        <v>176</v>
      </c>
      <c r="B5" s="94">
        <v>4096.0</v>
      </c>
      <c r="C5" s="94" t="s">
        <v>177</v>
      </c>
      <c r="D5" s="118" t="s">
        <v>177</v>
      </c>
      <c r="E5" s="94" t="s">
        <v>178</v>
      </c>
      <c r="F5" s="94" t="s">
        <v>179</v>
      </c>
      <c r="G5" s="94" t="s">
        <v>177</v>
      </c>
      <c r="H5" s="94" t="s">
        <v>180</v>
      </c>
      <c r="I5" s="94" t="s">
        <v>177</v>
      </c>
      <c r="J5" s="94" t="s">
        <v>177</v>
      </c>
      <c r="K5" s="94" t="s">
        <v>178</v>
      </c>
    </row>
    <row r="6">
      <c r="A6" s="116"/>
      <c r="B6" s="94">
        <v>8192.0</v>
      </c>
      <c r="C6" s="94" t="s">
        <v>179</v>
      </c>
      <c r="D6" s="118" t="s">
        <v>177</v>
      </c>
      <c r="E6" s="94" t="s">
        <v>180</v>
      </c>
      <c r="F6" s="94" t="s">
        <v>177</v>
      </c>
      <c r="G6" s="94" t="s">
        <v>177</v>
      </c>
      <c r="H6" s="94" t="s">
        <v>178</v>
      </c>
      <c r="I6" s="94" t="s">
        <v>179</v>
      </c>
      <c r="J6" s="94" t="s">
        <v>177</v>
      </c>
      <c r="K6" s="94" t="s">
        <v>180</v>
      </c>
    </row>
    <row r="7">
      <c r="A7" s="120"/>
      <c r="B7" s="94">
        <v>16384.0</v>
      </c>
      <c r="C7" s="94" t="s">
        <v>181</v>
      </c>
      <c r="D7" s="118" t="s">
        <v>177</v>
      </c>
      <c r="E7" s="94" t="s">
        <v>182</v>
      </c>
      <c r="F7" s="94" t="s">
        <v>179</v>
      </c>
      <c r="G7" s="94" t="s">
        <v>179</v>
      </c>
      <c r="H7" s="94" t="s">
        <v>178</v>
      </c>
      <c r="I7" s="94" t="s">
        <v>179</v>
      </c>
      <c r="J7" s="94" t="s">
        <v>179</v>
      </c>
      <c r="K7" s="94" t="s">
        <v>178</v>
      </c>
    </row>
    <row r="8">
      <c r="A8" s="122" t="s">
        <v>183</v>
      </c>
      <c r="B8" s="94">
        <v>4096.0</v>
      </c>
      <c r="C8" s="123">
        <v>84648.0</v>
      </c>
      <c r="D8" s="94" t="s">
        <v>184</v>
      </c>
      <c r="E8" s="94" t="s">
        <v>185</v>
      </c>
      <c r="F8" s="123">
        <v>83813.0</v>
      </c>
      <c r="G8" s="94" t="s">
        <v>186</v>
      </c>
      <c r="H8" s="94" t="s">
        <v>187</v>
      </c>
      <c r="I8" s="123">
        <v>83941.0</v>
      </c>
      <c r="J8" s="94" t="s">
        <v>188</v>
      </c>
      <c r="K8" s="94" t="s">
        <v>187</v>
      </c>
    </row>
    <row r="9">
      <c r="A9" s="116"/>
      <c r="B9" s="94">
        <v>8192.0</v>
      </c>
      <c r="C9" s="123">
        <v>83305.0</v>
      </c>
      <c r="D9" s="94" t="s">
        <v>189</v>
      </c>
      <c r="E9" s="119">
        <v>45566.0</v>
      </c>
      <c r="F9" s="123">
        <v>83000.0</v>
      </c>
      <c r="G9" s="94" t="s">
        <v>190</v>
      </c>
      <c r="H9" s="119">
        <v>45627.0</v>
      </c>
      <c r="I9" s="123">
        <v>84836.0</v>
      </c>
      <c r="J9" s="94" t="s">
        <v>191</v>
      </c>
      <c r="K9" s="117">
        <v>45536.0</v>
      </c>
    </row>
    <row r="10">
      <c r="A10" s="120"/>
      <c r="B10" s="94">
        <v>16384.0</v>
      </c>
      <c r="C10" s="123">
        <v>83773.0</v>
      </c>
      <c r="D10" s="94" t="s">
        <v>192</v>
      </c>
      <c r="E10" s="117">
        <v>45444.0</v>
      </c>
      <c r="F10" s="123">
        <v>83652.0</v>
      </c>
      <c r="G10" s="94" t="s">
        <v>193</v>
      </c>
      <c r="H10" s="117">
        <v>45444.0</v>
      </c>
      <c r="I10" s="123">
        <v>81871.0</v>
      </c>
      <c r="J10" s="94" t="s">
        <v>194</v>
      </c>
      <c r="K10" s="117">
        <v>45505.0</v>
      </c>
    </row>
    <row r="11">
      <c r="A11" s="7" t="s">
        <v>195</v>
      </c>
      <c r="B11" s="94" t="s">
        <v>196</v>
      </c>
      <c r="C11" s="94" t="s">
        <v>197</v>
      </c>
      <c r="D11" s="94" t="s">
        <v>197</v>
      </c>
      <c r="E11" s="94" t="s">
        <v>178</v>
      </c>
      <c r="F11" s="94" t="s">
        <v>197</v>
      </c>
      <c r="G11" s="94" t="s">
        <v>197</v>
      </c>
      <c r="H11" s="94" t="s">
        <v>178</v>
      </c>
      <c r="I11" s="94" t="s">
        <v>197</v>
      </c>
      <c r="J11" s="94" t="s">
        <v>197</v>
      </c>
      <c r="K11" s="94" t="s">
        <v>178</v>
      </c>
    </row>
    <row r="12">
      <c r="A12" s="124" t="s">
        <v>198</v>
      </c>
      <c r="B12" s="94">
        <v>4096.0</v>
      </c>
      <c r="C12" s="94" t="s">
        <v>199</v>
      </c>
      <c r="D12" s="118" t="s">
        <v>200</v>
      </c>
      <c r="E12" s="94" t="s">
        <v>201</v>
      </c>
      <c r="F12" s="94" t="s">
        <v>202</v>
      </c>
      <c r="G12" s="94" t="s">
        <v>203</v>
      </c>
      <c r="H12" s="94" t="s">
        <v>204</v>
      </c>
      <c r="I12" s="94" t="s">
        <v>205</v>
      </c>
      <c r="J12" s="94" t="s">
        <v>206</v>
      </c>
      <c r="K12" s="94" t="s">
        <v>207</v>
      </c>
    </row>
    <row r="13">
      <c r="A13" s="125"/>
      <c r="B13" s="94">
        <v>8192.0</v>
      </c>
      <c r="C13" s="94" t="s">
        <v>208</v>
      </c>
      <c r="D13" s="94" t="s">
        <v>209</v>
      </c>
      <c r="E13" s="94" t="s">
        <v>210</v>
      </c>
      <c r="F13" s="94" t="s">
        <v>211</v>
      </c>
      <c r="G13" s="94" t="s">
        <v>212</v>
      </c>
      <c r="H13" s="94" t="s">
        <v>213</v>
      </c>
      <c r="I13" s="94" t="s">
        <v>214</v>
      </c>
      <c r="J13" s="94" t="s">
        <v>215</v>
      </c>
      <c r="K13" s="94" t="s">
        <v>216</v>
      </c>
    </row>
    <row r="14">
      <c r="A14" s="126"/>
      <c r="B14" s="94">
        <v>16384.0</v>
      </c>
      <c r="C14" s="94" t="s">
        <v>217</v>
      </c>
      <c r="D14" s="118" t="s">
        <v>218</v>
      </c>
      <c r="E14" s="94" t="s">
        <v>219</v>
      </c>
      <c r="F14" s="94" t="s">
        <v>220</v>
      </c>
      <c r="G14" s="94" t="s">
        <v>221</v>
      </c>
      <c r="H14" s="94" t="s">
        <v>219</v>
      </c>
      <c r="I14" s="94" t="s">
        <v>222</v>
      </c>
      <c r="J14" s="94" t="s">
        <v>223</v>
      </c>
      <c r="K14" s="94" t="s">
        <v>224</v>
      </c>
    </row>
    <row r="15">
      <c r="A15" s="127" t="s">
        <v>225</v>
      </c>
      <c r="B15" s="94">
        <v>4096.0</v>
      </c>
      <c r="C15" s="123">
        <v>280864.0</v>
      </c>
      <c r="D15" s="118" t="s">
        <v>226</v>
      </c>
      <c r="E15" s="94" t="s">
        <v>204</v>
      </c>
      <c r="F15" s="94" t="s">
        <v>227</v>
      </c>
      <c r="G15" s="94" t="s">
        <v>227</v>
      </c>
      <c r="H15" s="94" t="s">
        <v>178</v>
      </c>
      <c r="I15" s="94" t="s">
        <v>228</v>
      </c>
      <c r="J15" s="94" t="s">
        <v>228</v>
      </c>
      <c r="K15" s="94" t="s">
        <v>178</v>
      </c>
    </row>
    <row r="16">
      <c r="A16" s="125"/>
      <c r="B16" s="94">
        <v>8192.0</v>
      </c>
      <c r="C16" s="123">
        <v>282556.0</v>
      </c>
      <c r="D16" s="118" t="s">
        <v>229</v>
      </c>
      <c r="E16" s="94" t="s">
        <v>178</v>
      </c>
      <c r="F16" s="94" t="s">
        <v>227</v>
      </c>
      <c r="G16" s="94" t="s">
        <v>227</v>
      </c>
      <c r="H16" s="94" t="s">
        <v>178</v>
      </c>
      <c r="I16" s="94" t="s">
        <v>230</v>
      </c>
      <c r="J16" s="94" t="s">
        <v>228</v>
      </c>
      <c r="K16" s="117">
        <v>45323.0</v>
      </c>
    </row>
    <row r="17">
      <c r="A17" s="126"/>
      <c r="B17" s="94">
        <v>16384.0</v>
      </c>
      <c r="C17" s="123">
        <v>282556.0</v>
      </c>
      <c r="D17" s="94" t="s">
        <v>229</v>
      </c>
      <c r="E17" s="94" t="s">
        <v>178</v>
      </c>
      <c r="F17" s="94" t="s">
        <v>228</v>
      </c>
      <c r="G17" s="94" t="s">
        <v>227</v>
      </c>
      <c r="H17" s="94" t="s">
        <v>224</v>
      </c>
      <c r="I17" s="94" t="s">
        <v>228</v>
      </c>
      <c r="J17" s="94" t="s">
        <v>228</v>
      </c>
      <c r="K17" s="94" t="s">
        <v>178</v>
      </c>
    </row>
    <row r="19">
      <c r="A19" s="39"/>
      <c r="B19" s="39"/>
      <c r="C19" s="39"/>
      <c r="D19" s="39"/>
    </row>
    <row r="20">
      <c r="B20" s="105"/>
      <c r="C20" s="105"/>
      <c r="D20" s="40"/>
    </row>
    <row r="21">
      <c r="A21" s="40"/>
      <c r="B21" s="40"/>
      <c r="C21" s="36"/>
      <c r="D21" s="91"/>
    </row>
    <row r="22">
      <c r="A22" s="40"/>
      <c r="B22" s="40"/>
      <c r="C22" s="36"/>
      <c r="D22" s="36"/>
    </row>
    <row r="23">
      <c r="A23" s="40"/>
      <c r="B23" s="40"/>
      <c r="C23" s="36"/>
      <c r="D23" s="91"/>
    </row>
    <row r="24">
      <c r="A24" s="128"/>
      <c r="B24" s="129"/>
      <c r="C24" s="129"/>
      <c r="D24" s="129"/>
      <c r="E24" s="129"/>
      <c r="F24" s="130"/>
    </row>
    <row r="25">
      <c r="A25" s="40"/>
      <c r="B25" s="40"/>
      <c r="C25" s="36"/>
      <c r="D25" s="91"/>
    </row>
  </sheetData>
  <mergeCells count="5">
    <mergeCell ref="A2:A4"/>
    <mergeCell ref="A5:A7"/>
    <mergeCell ref="A8:A10"/>
    <mergeCell ref="A12:A14"/>
    <mergeCell ref="A15:A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